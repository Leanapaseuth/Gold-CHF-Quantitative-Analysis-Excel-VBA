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n243436\Documents\A4\VBA\PROJET\"/>
    </mc:Choice>
  </mc:AlternateContent>
  <xr:revisionPtr revIDLastSave="0" documentId="13_ncr:1_{FE96A070-C25E-403E-A68F-AF53C329A8CE}" xr6:coauthVersionLast="47" xr6:coauthVersionMax="47" xr10:uidLastSave="{00000000-0000-0000-0000-000000000000}"/>
  <bookViews>
    <workbookView xWindow="-110" yWindow="-110" windowWidth="19420" windowHeight="10300" activeTab="4" xr2:uid="{7F4E334B-10A2-4B32-A7A4-A5BEB2CAE79C}"/>
  </bookViews>
  <sheets>
    <sheet name="Home" sheetId="1" r:id="rId1"/>
    <sheet name="Data_Raw" sheetId="2" r:id="rId2"/>
    <sheet name="Calculs" sheetId="3" r:id="rId3"/>
    <sheet name="Results" sheetId="4" r:id="rId4"/>
    <sheet name="Excel calculation" sheetId="1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11" l="1"/>
  <c r="I18" i="11"/>
  <c r="I17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E22" i="11" s="1"/>
  <c r="C23" i="11"/>
  <c r="C24" i="11"/>
  <c r="C25" i="11"/>
  <c r="C26" i="11"/>
  <c r="C27" i="11"/>
  <c r="C28" i="11"/>
  <c r="C29" i="11"/>
  <c r="C30" i="11"/>
  <c r="E30" i="11" s="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E134" i="11" s="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E166" i="11" s="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E254" i="11" s="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E422" i="11" s="1"/>
  <c r="C423" i="11"/>
  <c r="C424" i="11"/>
  <c r="C425" i="11"/>
  <c r="C426" i="11"/>
  <c r="C427" i="11"/>
  <c r="C428" i="11"/>
  <c r="C429" i="11"/>
  <c r="C430" i="11"/>
  <c r="E430" i="11" s="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E574" i="11" s="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E590" i="11" s="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E694" i="11" s="1"/>
  <c r="C695" i="11"/>
  <c r="C696" i="11"/>
  <c r="C697" i="11"/>
  <c r="C698" i="11"/>
  <c r="C699" i="11"/>
  <c r="C700" i="11"/>
  <c r="C701" i="11"/>
  <c r="C702" i="11"/>
  <c r="E702" i="11" s="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E742" i="11" s="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E918" i="11" s="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D86" i="11" s="1"/>
  <c r="B87" i="11"/>
  <c r="B88" i="11"/>
  <c r="B89" i="11"/>
  <c r="B90" i="11"/>
  <c r="B91" i="11"/>
  <c r="B92" i="11"/>
  <c r="B93" i="11"/>
  <c r="B94" i="11"/>
  <c r="D94" i="11" s="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D122" i="11" s="1"/>
  <c r="B123" i="11"/>
  <c r="B124" i="11"/>
  <c r="B125" i="11"/>
  <c r="B126" i="11"/>
  <c r="B127" i="11"/>
  <c r="B128" i="11"/>
  <c r="B129" i="11"/>
  <c r="B130" i="11"/>
  <c r="D130" i="11" s="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D170" i="11" s="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D194" i="11" s="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D230" i="11" s="1"/>
  <c r="B231" i="11"/>
  <c r="B232" i="11"/>
  <c r="B233" i="11"/>
  <c r="B234" i="11"/>
  <c r="B235" i="11"/>
  <c r="B236" i="11"/>
  <c r="B237" i="11"/>
  <c r="B238" i="11"/>
  <c r="D238" i="11" s="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D254" i="11" s="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D350" i="11" s="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D366" i="11" s="1"/>
  <c r="B367" i="11"/>
  <c r="B368" i="11"/>
  <c r="B369" i="11"/>
  <c r="B370" i="11"/>
  <c r="D370" i="11" s="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D402" i="11" s="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D486" i="11" s="1"/>
  <c r="B487" i="11"/>
  <c r="B488" i="11"/>
  <c r="B489" i="11"/>
  <c r="B490" i="11"/>
  <c r="D490" i="11" s="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D550" i="11" s="1"/>
  <c r="B551" i="11"/>
  <c r="B552" i="11"/>
  <c r="B553" i="11"/>
  <c r="B554" i="11"/>
  <c r="B555" i="11"/>
  <c r="B556" i="11"/>
  <c r="B557" i="11"/>
  <c r="B558" i="11"/>
  <c r="D558" i="11" s="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D586" i="11" s="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D606" i="11" s="1"/>
  <c r="B607" i="11"/>
  <c r="B608" i="11"/>
  <c r="B609" i="11"/>
  <c r="B610" i="11"/>
  <c r="B611" i="11"/>
  <c r="B612" i="11"/>
  <c r="B613" i="11"/>
  <c r="B614" i="11"/>
  <c r="D614" i="11" s="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D630" i="11" s="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D726" i="11" s="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D742" i="11" s="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D782" i="11" s="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D798" i="11" s="1"/>
  <c r="B799" i="11"/>
  <c r="B800" i="11"/>
  <c r="B801" i="11"/>
  <c r="B802" i="11"/>
  <c r="D802" i="11" s="1"/>
  <c r="B803" i="11"/>
  <c r="B804" i="11"/>
  <c r="B805" i="11"/>
  <c r="B806" i="11"/>
  <c r="D806" i="11" s="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D822" i="11" s="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D862" i="11" s="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D886" i="11" s="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D902" i="11" s="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D918" i="11" s="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D1026" i="11" s="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D1062" i="11" s="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D1124" i="11" s="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D1142" i="11" s="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D1206" i="11" s="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D1238" i="11" s="1"/>
  <c r="B1239" i="11"/>
  <c r="B1240" i="11"/>
  <c r="B1241" i="11"/>
  <c r="B1242" i="11"/>
  <c r="B1243" i="11"/>
  <c r="B1244" i="11"/>
  <c r="D1244" i="11" s="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A1025" i="11"/>
  <c r="A1026" i="11"/>
  <c r="A1027" i="11"/>
  <c r="A1028" i="11"/>
  <c r="A1029" i="11"/>
  <c r="A1030" i="11"/>
  <c r="A1031" i="11"/>
  <c r="A1032" i="11"/>
  <c r="A1033" i="11"/>
  <c r="A1034" i="11"/>
  <c r="A1035" i="11"/>
  <c r="A1036" i="11"/>
  <c r="A1037" i="11"/>
  <c r="A1038" i="11"/>
  <c r="A1039" i="11"/>
  <c r="A1040" i="11"/>
  <c r="A1041" i="11"/>
  <c r="A1042" i="11"/>
  <c r="A1043" i="11"/>
  <c r="A1044" i="11"/>
  <c r="A1045" i="11"/>
  <c r="A1046" i="11"/>
  <c r="A1047" i="11"/>
  <c r="A1048" i="11"/>
  <c r="A1049" i="11"/>
  <c r="A1050" i="11"/>
  <c r="A1051" i="11"/>
  <c r="A1052" i="11"/>
  <c r="A1053" i="11"/>
  <c r="A1054" i="11"/>
  <c r="A1055" i="11"/>
  <c r="A1056" i="11"/>
  <c r="A1057" i="11"/>
  <c r="A1058" i="11"/>
  <c r="A1059" i="11"/>
  <c r="A1060" i="11"/>
  <c r="A1061" i="11"/>
  <c r="A1062" i="11"/>
  <c r="A1063" i="11"/>
  <c r="A1064" i="11"/>
  <c r="A1065" i="11"/>
  <c r="A1066" i="11"/>
  <c r="A1067" i="11"/>
  <c r="A1068" i="11"/>
  <c r="A1069" i="11"/>
  <c r="A1070" i="11"/>
  <c r="A1071" i="11"/>
  <c r="A1072" i="11"/>
  <c r="A1073" i="11"/>
  <c r="A1074" i="11"/>
  <c r="A1075" i="11"/>
  <c r="A1076" i="11"/>
  <c r="A1077" i="11"/>
  <c r="A1078" i="11"/>
  <c r="A1079" i="11"/>
  <c r="A1080" i="11"/>
  <c r="A1081" i="11"/>
  <c r="A1082" i="11"/>
  <c r="A1083" i="11"/>
  <c r="A1084" i="11"/>
  <c r="A1085" i="11"/>
  <c r="A1086" i="11"/>
  <c r="A1087" i="11"/>
  <c r="A1088" i="11"/>
  <c r="A1089" i="11"/>
  <c r="A1090" i="11"/>
  <c r="A1091" i="11"/>
  <c r="A1092" i="11"/>
  <c r="A1093" i="11"/>
  <c r="A1094" i="11"/>
  <c r="A1095" i="11"/>
  <c r="A1096" i="11"/>
  <c r="A1097" i="11"/>
  <c r="A1098" i="11"/>
  <c r="A1099" i="11"/>
  <c r="A1100" i="11"/>
  <c r="A1101" i="11"/>
  <c r="A1102" i="11"/>
  <c r="A1103" i="11"/>
  <c r="A1104" i="11"/>
  <c r="A1105" i="11"/>
  <c r="A1106" i="11"/>
  <c r="A1107" i="11"/>
  <c r="A1108" i="11"/>
  <c r="A1109" i="11"/>
  <c r="A1110" i="11"/>
  <c r="A1111" i="11"/>
  <c r="A1112" i="11"/>
  <c r="A1113" i="11"/>
  <c r="A1114" i="11"/>
  <c r="A1115" i="11"/>
  <c r="A1116" i="11"/>
  <c r="A1117" i="11"/>
  <c r="A1118" i="11"/>
  <c r="A1119" i="11"/>
  <c r="A1120" i="11"/>
  <c r="A1121" i="11"/>
  <c r="A1122" i="11"/>
  <c r="A1123" i="11"/>
  <c r="A1124" i="11"/>
  <c r="A1125" i="11"/>
  <c r="A1126" i="11"/>
  <c r="A1127" i="11"/>
  <c r="A1128" i="11"/>
  <c r="A1129" i="11"/>
  <c r="A1130" i="11"/>
  <c r="A1131" i="11"/>
  <c r="A1132" i="11"/>
  <c r="A1133" i="11"/>
  <c r="A1134" i="11"/>
  <c r="A1135" i="11"/>
  <c r="A1136" i="11"/>
  <c r="A1137" i="11"/>
  <c r="A1138" i="11"/>
  <c r="A1139" i="11"/>
  <c r="A1140" i="11"/>
  <c r="A1141" i="11"/>
  <c r="A1142" i="11"/>
  <c r="A1143" i="11"/>
  <c r="A1144" i="11"/>
  <c r="A1145" i="11"/>
  <c r="A1146" i="11"/>
  <c r="A1147" i="11"/>
  <c r="A1148" i="11"/>
  <c r="A1149" i="11"/>
  <c r="A1150" i="11"/>
  <c r="A1151" i="11"/>
  <c r="A1152" i="11"/>
  <c r="A1153" i="11"/>
  <c r="A1154" i="11"/>
  <c r="A1155" i="11"/>
  <c r="A1156" i="11"/>
  <c r="A1157" i="11"/>
  <c r="A1158" i="11"/>
  <c r="A1159" i="11"/>
  <c r="A1160" i="11"/>
  <c r="A1161" i="11"/>
  <c r="A1162" i="11"/>
  <c r="A1163" i="11"/>
  <c r="A1164" i="11"/>
  <c r="A1165" i="11"/>
  <c r="A1166" i="11"/>
  <c r="A1167" i="11"/>
  <c r="A1168" i="11"/>
  <c r="A1169" i="11"/>
  <c r="A1170" i="11"/>
  <c r="A1171" i="11"/>
  <c r="A1172" i="11"/>
  <c r="A1173" i="11"/>
  <c r="A1174" i="11"/>
  <c r="A1175" i="11"/>
  <c r="A1176" i="11"/>
  <c r="A1177" i="11"/>
  <c r="A1178" i="11"/>
  <c r="A1179" i="11"/>
  <c r="A1180" i="11"/>
  <c r="A1181" i="11"/>
  <c r="A1182" i="11"/>
  <c r="A1183" i="11"/>
  <c r="A1184" i="11"/>
  <c r="A1185" i="11"/>
  <c r="A1186" i="11"/>
  <c r="A1187" i="11"/>
  <c r="A1188" i="11"/>
  <c r="A1189" i="11"/>
  <c r="A1190" i="11"/>
  <c r="A1191" i="11"/>
  <c r="A1192" i="11"/>
  <c r="A1193" i="11"/>
  <c r="A1194" i="11"/>
  <c r="A1195" i="11"/>
  <c r="A1196" i="11"/>
  <c r="A1197" i="11"/>
  <c r="A1198" i="11"/>
  <c r="A1199" i="11"/>
  <c r="A1200" i="11"/>
  <c r="A1201" i="11"/>
  <c r="A1202" i="11"/>
  <c r="A1203" i="11"/>
  <c r="A1204" i="11"/>
  <c r="A1205" i="11"/>
  <c r="A1206" i="11"/>
  <c r="A1207" i="11"/>
  <c r="A1208" i="11"/>
  <c r="A1209" i="11"/>
  <c r="A1210" i="11"/>
  <c r="A1211" i="11"/>
  <c r="A1212" i="11"/>
  <c r="A1213" i="11"/>
  <c r="A1214" i="11"/>
  <c r="A1215" i="11"/>
  <c r="A1216" i="11"/>
  <c r="A1217" i="11"/>
  <c r="A1218" i="11"/>
  <c r="A1219" i="11"/>
  <c r="A1220" i="11"/>
  <c r="A1221" i="11"/>
  <c r="A1222" i="11"/>
  <c r="A1223" i="11"/>
  <c r="A1224" i="11"/>
  <c r="A1225" i="11"/>
  <c r="A1226" i="11"/>
  <c r="A1227" i="11"/>
  <c r="A1228" i="11"/>
  <c r="A1229" i="11"/>
  <c r="A1230" i="11"/>
  <c r="A1231" i="11"/>
  <c r="A1232" i="11"/>
  <c r="A1233" i="11"/>
  <c r="A1234" i="11"/>
  <c r="A1235" i="11"/>
  <c r="A1236" i="11"/>
  <c r="A1237" i="11"/>
  <c r="A1238" i="11"/>
  <c r="A1239" i="11"/>
  <c r="A1240" i="11"/>
  <c r="A1241" i="11"/>
  <c r="A1242" i="11"/>
  <c r="A1243" i="11"/>
  <c r="A1244" i="11"/>
  <c r="A1245" i="11"/>
  <c r="A1246" i="11"/>
  <c r="A1247" i="11"/>
  <c r="A1248" i="11"/>
  <c r="A1249" i="11"/>
  <c r="A1250" i="11"/>
  <c r="A1251" i="11"/>
  <c r="A1252" i="11"/>
  <c r="A1253" i="11"/>
  <c r="A1254" i="11"/>
  <c r="A1255" i="11"/>
  <c r="A1256" i="11"/>
  <c r="A1257" i="11"/>
  <c r="A1258" i="11"/>
  <c r="C2" i="11"/>
  <c r="E3" i="11" s="1"/>
  <c r="B2" i="11"/>
  <c r="A2" i="11"/>
  <c r="E1254" i="11" l="1"/>
  <c r="D1252" i="11"/>
  <c r="D1228" i="11"/>
  <c r="D1226" i="11"/>
  <c r="D1218" i="11"/>
  <c r="D1182" i="11"/>
  <c r="D1172" i="11"/>
  <c r="D1166" i="11"/>
  <c r="D1138" i="11"/>
  <c r="D1122" i="11"/>
  <c r="D1108" i="11"/>
  <c r="D1102" i="11"/>
  <c r="D1070" i="11"/>
  <c r="D1050" i="11"/>
  <c r="D1042" i="11"/>
  <c r="E1038" i="11"/>
  <c r="D1018" i="11"/>
  <c r="D1002" i="11"/>
  <c r="D994" i="11"/>
  <c r="D986" i="11"/>
  <c r="D962" i="11"/>
  <c r="D954" i="11"/>
  <c r="D922" i="11"/>
  <c r="D906" i="11"/>
  <c r="D882" i="11"/>
  <c r="D874" i="11"/>
  <c r="E810" i="11"/>
  <c r="D730" i="11"/>
  <c r="D722" i="11"/>
  <c r="D706" i="11"/>
  <c r="D642" i="11"/>
  <c r="D626" i="11"/>
  <c r="D562" i="11"/>
  <c r="D506" i="11"/>
  <c r="D478" i="11"/>
  <c r="D398" i="11"/>
  <c r="D390" i="11"/>
  <c r="D386" i="11"/>
  <c r="D382" i="11"/>
  <c r="D354" i="11"/>
  <c r="D330" i="11"/>
  <c r="D290" i="11"/>
  <c r="E242" i="11"/>
  <c r="E222" i="11"/>
  <c r="D166" i="11"/>
  <c r="D158" i="11"/>
  <c r="D154" i="11"/>
  <c r="D142" i="11"/>
  <c r="D114" i="11"/>
  <c r="D106" i="11"/>
  <c r="E86" i="11"/>
  <c r="E78" i="11"/>
  <c r="D14" i="11"/>
  <c r="D10" i="11"/>
  <c r="D1044" i="11"/>
  <c r="E170" i="11"/>
  <c r="D1258" i="11"/>
  <c r="D1250" i="11"/>
  <c r="D1246" i="11"/>
  <c r="D1242" i="11"/>
  <c r="D1230" i="11"/>
  <c r="E1226" i="11"/>
  <c r="E1222" i="11"/>
  <c r="D1222" i="11"/>
  <c r="D1220" i="11"/>
  <c r="E1210" i="11"/>
  <c r="E1202" i="11"/>
  <c r="D1202" i="11"/>
  <c r="D1199" i="11"/>
  <c r="E1194" i="11"/>
  <c r="D1194" i="11"/>
  <c r="D1188" i="11"/>
  <c r="D1178" i="11"/>
  <c r="D1175" i="11"/>
  <c r="E1170" i="11"/>
  <c r="D1170" i="11"/>
  <c r="D1159" i="11"/>
  <c r="D1158" i="11"/>
  <c r="D1150" i="11"/>
  <c r="D1148" i="11"/>
  <c r="D1118" i="11"/>
  <c r="D1116" i="11"/>
  <c r="D1111" i="11"/>
  <c r="D1106" i="11"/>
  <c r="D1100" i="11"/>
  <c r="D1094" i="11"/>
  <c r="D1090" i="11"/>
  <c r="D1084" i="11"/>
  <c r="D1082" i="11"/>
  <c r="E1078" i="11"/>
  <c r="D1078" i="11"/>
  <c r="D1076" i="11"/>
  <c r="D1066" i="11"/>
  <c r="D1060" i="11"/>
  <c r="D1054" i="11"/>
  <c r="D1039" i="11"/>
  <c r="D1038" i="11"/>
  <c r="D1036" i="11"/>
  <c r="D1028" i="11"/>
  <c r="E1014" i="11"/>
  <c r="D1010" i="11"/>
  <c r="D990" i="11"/>
  <c r="D982" i="11"/>
  <c r="E970" i="11"/>
  <c r="E966" i="11"/>
  <c r="D958" i="11"/>
  <c r="D942" i="11"/>
  <c r="E938" i="11"/>
  <c r="E926" i="11"/>
  <c r="D926" i="11"/>
  <c r="D914" i="11"/>
  <c r="E910" i="11"/>
  <c r="D910" i="11"/>
  <c r="E902" i="11"/>
  <c r="E898" i="11"/>
  <c r="E894" i="11"/>
  <c r="D894" i="11"/>
  <c r="E890" i="11"/>
  <c r="E886" i="11"/>
  <c r="E882" i="11"/>
  <c r="E874" i="11"/>
  <c r="E870" i="11"/>
  <c r="D870" i="11"/>
  <c r="E862" i="11"/>
  <c r="E854" i="11"/>
  <c r="D854" i="11"/>
  <c r="E850" i="11"/>
  <c r="D850" i="11"/>
  <c r="E838" i="11"/>
  <c r="E834" i="11"/>
  <c r="D834" i="11"/>
  <c r="D830" i="11"/>
  <c r="E826" i="11"/>
  <c r="D826" i="11"/>
  <c r="E806" i="11"/>
  <c r="E802" i="11"/>
  <c r="E790" i="11"/>
  <c r="E774" i="11"/>
  <c r="D774" i="11"/>
  <c r="E766" i="11"/>
  <c r="D766" i="11"/>
  <c r="E758" i="11"/>
  <c r="D758" i="11"/>
  <c r="E754" i="11"/>
  <c r="E750" i="11"/>
  <c r="D750" i="11"/>
  <c r="E738" i="11"/>
  <c r="E734" i="11"/>
  <c r="D734" i="11"/>
  <c r="E730" i="11"/>
  <c r="D718" i="11"/>
  <c r="D714" i="11"/>
  <c r="E710" i="11"/>
  <c r="E706" i="11"/>
  <c r="D702" i="11"/>
  <c r="E698" i="11"/>
  <c r="D698" i="11"/>
  <c r="D694" i="11"/>
  <c r="E690" i="11"/>
  <c r="D678" i="11"/>
  <c r="D674" i="11"/>
  <c r="E662" i="11"/>
  <c r="D658" i="11"/>
  <c r="D638" i="11"/>
  <c r="E634" i="11"/>
  <c r="D634" i="11"/>
  <c r="E630" i="11"/>
  <c r="E614" i="11"/>
  <c r="E606" i="11"/>
  <c r="E602" i="11"/>
  <c r="D602" i="11"/>
  <c r="D590" i="11"/>
  <c r="E578" i="11"/>
  <c r="D574" i="11"/>
  <c r="D570" i="11"/>
  <c r="D566" i="11"/>
  <c r="D554" i="11"/>
  <c r="E550" i="11"/>
  <c r="D546" i="11"/>
  <c r="D534" i="11"/>
  <c r="E530" i="11"/>
  <c r="D530" i="11"/>
  <c r="E526" i="11"/>
  <c r="E522" i="11"/>
  <c r="E510" i="11"/>
  <c r="D502" i="11"/>
  <c r="E482" i="11"/>
  <c r="D482" i="11"/>
  <c r="D470" i="11"/>
  <c r="E466" i="11"/>
  <c r="D458" i="11"/>
  <c r="D454" i="11"/>
  <c r="E434" i="11"/>
  <c r="E414" i="11"/>
  <c r="D414" i="11"/>
  <c r="E410" i="11"/>
  <c r="E406" i="11"/>
  <c r="E398" i="11"/>
  <c r="E374" i="11"/>
  <c r="E370" i="11"/>
  <c r="D362" i="11"/>
  <c r="D358" i="11"/>
  <c r="D346" i="11"/>
  <c r="E330" i="11"/>
  <c r="D326" i="11"/>
  <c r="E318" i="11"/>
  <c r="D318" i="11"/>
  <c r="D314" i="11"/>
  <c r="E310" i="11"/>
  <c r="D310" i="11"/>
  <c r="D274" i="11"/>
  <c r="E262" i="11"/>
  <c r="D250" i="11"/>
  <c r="D242" i="11"/>
  <c r="D226" i="11"/>
  <c r="D222" i="11"/>
  <c r="D214" i="11"/>
  <c r="D198" i="11"/>
  <c r="E182" i="11"/>
  <c r="D174" i="11"/>
  <c r="D162" i="11"/>
  <c r="E158" i="11"/>
  <c r="E102" i="11"/>
  <c r="D102" i="11"/>
  <c r="E83" i="11"/>
  <c r="D74" i="11"/>
  <c r="E67" i="11"/>
  <c r="D66" i="11"/>
  <c r="E62" i="11"/>
  <c r="D62" i="11"/>
  <c r="D38" i="11"/>
  <c r="D22" i="11"/>
  <c r="E19" i="11"/>
  <c r="D18" i="11"/>
  <c r="E7" i="11"/>
  <c r="E6" i="11"/>
  <c r="D6" i="11"/>
  <c r="D988" i="11"/>
  <c r="D980" i="11"/>
  <c r="D956" i="11"/>
  <c r="D924" i="11"/>
  <c r="D916" i="11"/>
  <c r="D908" i="11"/>
  <c r="D900" i="11"/>
  <c r="D892" i="11"/>
  <c r="D860" i="11"/>
  <c r="D852" i="11"/>
  <c r="D844" i="11"/>
  <c r="D836" i="11"/>
  <c r="D828" i="11"/>
  <c r="D796" i="11"/>
  <c r="D780" i="11"/>
  <c r="D772" i="11"/>
  <c r="D764" i="11"/>
  <c r="D748" i="11"/>
  <c r="D740" i="11"/>
  <c r="D732" i="11"/>
  <c r="D700" i="11"/>
  <c r="D692" i="11"/>
  <c r="D676" i="11"/>
  <c r="D612" i="11"/>
  <c r="D604" i="11"/>
  <c r="D596" i="11"/>
  <c r="D588" i="11"/>
  <c r="D580" i="11"/>
  <c r="D556" i="11"/>
  <c r="D540" i="11"/>
  <c r="D516" i="11"/>
  <c r="D492" i="11"/>
  <c r="D484" i="11"/>
  <c r="D460" i="11"/>
  <c r="D428" i="11"/>
  <c r="D396" i="11"/>
  <c r="D364" i="11"/>
  <c r="D300" i="11"/>
  <c r="D292" i="11"/>
  <c r="D244" i="11"/>
  <c r="D236" i="11"/>
  <c r="D228" i="11"/>
  <c r="D212" i="11"/>
  <c r="D180" i="11"/>
  <c r="D164" i="11"/>
  <c r="D132" i="11"/>
  <c r="D116" i="11"/>
  <c r="D100" i="11"/>
  <c r="D92" i="11"/>
  <c r="D68" i="11"/>
  <c r="D60" i="11"/>
  <c r="D44" i="11"/>
  <c r="E1020" i="11"/>
  <c r="E980" i="11"/>
  <c r="E924" i="11"/>
  <c r="E908" i="11"/>
  <c r="E900" i="11"/>
  <c r="E876" i="11"/>
  <c r="E860" i="11"/>
  <c r="E852" i="11"/>
  <c r="E844" i="11"/>
  <c r="E788" i="11"/>
  <c r="E756" i="11"/>
  <c r="E748" i="11"/>
  <c r="E732" i="11"/>
  <c r="E724" i="11"/>
  <c r="E716" i="11"/>
  <c r="E708" i="11"/>
  <c r="E692" i="11"/>
  <c r="E652" i="11"/>
  <c r="E620" i="11"/>
  <c r="E612" i="11"/>
  <c r="E604" i="11"/>
  <c r="E588" i="11"/>
  <c r="E580" i="11"/>
  <c r="E444" i="11"/>
  <c r="E388" i="11"/>
  <c r="E316" i="11"/>
  <c r="E292" i="11"/>
  <c r="E244" i="11"/>
  <c r="E180" i="11"/>
  <c r="E164" i="11"/>
  <c r="E156" i="11"/>
  <c r="E140" i="11"/>
  <c r="E124" i="11"/>
  <c r="E114" i="11"/>
  <c r="D216" i="11"/>
  <c r="D200" i="11"/>
  <c r="D192" i="11"/>
  <c r="D184" i="11"/>
  <c r="D176" i="11"/>
  <c r="D168" i="11"/>
  <c r="D160" i="11"/>
  <c r="D144" i="11"/>
  <c r="D120" i="11"/>
  <c r="D104" i="11"/>
  <c r="D96" i="11"/>
  <c r="D88" i="11"/>
  <c r="D80" i="11"/>
  <c r="D64" i="11"/>
  <c r="D56" i="11"/>
  <c r="D8" i="11"/>
  <c r="E1240" i="11"/>
  <c r="E1232" i="11"/>
  <c r="E1168" i="11"/>
  <c r="E1152" i="11"/>
  <c r="E1136" i="11"/>
  <c r="E1104" i="11"/>
  <c r="E992" i="11"/>
  <c r="E968" i="11"/>
  <c r="E960" i="11"/>
  <c r="E952" i="11"/>
  <c r="E680" i="11"/>
  <c r="E592" i="11"/>
  <c r="E568" i="11"/>
  <c r="E544" i="11"/>
  <c r="E536" i="11"/>
  <c r="E520" i="11"/>
  <c r="E496" i="11"/>
  <c r="E488" i="11"/>
  <c r="E480" i="11"/>
  <c r="E464" i="11"/>
  <c r="E456" i="11"/>
  <c r="E448" i="11"/>
  <c r="E440" i="11"/>
  <c r="E432" i="11"/>
  <c r="E384" i="11"/>
  <c r="E368" i="11"/>
  <c r="E1258" i="11"/>
  <c r="E1256" i="11"/>
  <c r="D1255" i="11"/>
  <c r="D1254" i="11"/>
  <c r="E1252" i="11"/>
  <c r="E1250" i="11"/>
  <c r="E1248" i="11"/>
  <c r="D1247" i="11"/>
  <c r="E1246" i="11"/>
  <c r="E1244" i="11"/>
  <c r="E1242" i="11"/>
  <c r="D1239" i="11"/>
  <c r="E1238" i="11"/>
  <c r="E1236" i="11"/>
  <c r="D1236" i="11"/>
  <c r="E1234" i="11"/>
  <c r="D1234" i="11"/>
  <c r="D1231" i="11"/>
  <c r="E1230" i="11"/>
  <c r="E1228" i="11"/>
  <c r="E1224" i="11"/>
  <c r="D1223" i="11"/>
  <c r="E1220" i="11"/>
  <c r="E1218" i="11"/>
  <c r="E1216" i="11"/>
  <c r="D1215" i="11"/>
  <c r="E1214" i="11"/>
  <c r="D1214" i="11"/>
  <c r="E1212" i="11"/>
  <c r="D1212" i="11"/>
  <c r="D1210" i="11"/>
  <c r="E1208" i="11"/>
  <c r="D1207" i="11"/>
  <c r="E1206" i="11"/>
  <c r="E1204" i="11"/>
  <c r="D1204" i="11"/>
  <c r="E1200" i="11"/>
  <c r="E1198" i="11"/>
  <c r="D1198" i="11"/>
  <c r="E1196" i="11"/>
  <c r="D1196" i="11"/>
  <c r="E1192" i="11"/>
  <c r="D1191" i="11"/>
  <c r="E1190" i="11"/>
  <c r="D1190" i="11"/>
  <c r="E1188" i="11"/>
  <c r="E1186" i="11"/>
  <c r="D1186" i="11"/>
  <c r="E1184" i="11"/>
  <c r="D1183" i="11"/>
  <c r="E1182" i="11"/>
  <c r="E1180" i="11"/>
  <c r="D1180" i="11"/>
  <c r="E1178" i="11"/>
  <c r="E1176" i="11"/>
  <c r="E1174" i="11"/>
  <c r="D1174" i="11"/>
  <c r="E1172" i="11"/>
  <c r="D1167" i="11"/>
  <c r="E1166" i="11"/>
  <c r="E1164" i="11"/>
  <c r="D1164" i="11"/>
  <c r="E1162" i="11"/>
  <c r="D1162" i="11"/>
  <c r="E1160" i="11"/>
  <c r="E1158" i="11"/>
  <c r="E1156" i="11"/>
  <c r="D1156" i="11"/>
  <c r="E1154" i="11"/>
  <c r="D1154" i="11"/>
  <c r="D1151" i="11"/>
  <c r="E1150" i="11"/>
  <c r="E1148" i="11"/>
  <c r="E1146" i="11"/>
  <c r="D1146" i="11"/>
  <c r="E1144" i="11"/>
  <c r="D1143" i="11"/>
  <c r="E1142" i="11"/>
  <c r="E1140" i="11"/>
  <c r="D1140" i="11"/>
  <c r="E1138" i="11"/>
  <c r="D1135" i="11"/>
  <c r="E1134" i="11"/>
  <c r="D1134" i="11"/>
  <c r="E1132" i="11"/>
  <c r="D1132" i="11"/>
  <c r="E1130" i="11"/>
  <c r="D1130" i="11"/>
  <c r="E1128" i="11"/>
  <c r="D1127" i="11"/>
  <c r="E1126" i="11"/>
  <c r="D1126" i="11"/>
  <c r="E1124" i="11"/>
  <c r="E1122" i="11"/>
  <c r="E1120" i="11"/>
  <c r="D1119" i="11"/>
  <c r="E1118" i="11"/>
  <c r="E1116" i="11"/>
  <c r="E1114" i="11"/>
  <c r="D1114" i="11"/>
  <c r="E1112" i="11"/>
  <c r="E1110" i="11"/>
  <c r="D1110" i="11"/>
  <c r="E1108" i="11"/>
  <c r="E1106" i="11"/>
  <c r="D1103" i="11"/>
  <c r="E1102" i="11"/>
  <c r="E1100" i="11"/>
  <c r="E1098" i="11"/>
  <c r="D1098" i="11"/>
  <c r="E1096" i="11"/>
  <c r="D1095" i="11"/>
  <c r="E1094" i="11"/>
  <c r="E1092" i="11"/>
  <c r="D1092" i="11"/>
  <c r="E1090" i="11"/>
  <c r="E1088" i="11"/>
  <c r="D1087" i="11"/>
  <c r="E1086" i="11"/>
  <c r="D1086" i="11"/>
  <c r="E1084" i="11"/>
  <c r="E1082" i="11"/>
  <c r="E1080" i="11"/>
  <c r="D1079" i="11"/>
  <c r="E1076" i="11"/>
  <c r="E1074" i="11"/>
  <c r="D1074" i="11"/>
  <c r="E1072" i="11"/>
  <c r="D1071" i="11"/>
  <c r="E1070" i="11"/>
  <c r="E1068" i="11"/>
  <c r="D1068" i="11"/>
  <c r="E1066" i="11"/>
  <c r="E1064" i="11"/>
  <c r="D1063" i="11"/>
  <c r="E1062" i="11"/>
  <c r="E1060" i="11"/>
  <c r="E1058" i="11"/>
  <c r="D1058" i="11"/>
  <c r="E1056" i="11"/>
  <c r="D1055" i="11"/>
  <c r="E1054" i="11"/>
  <c r="E1052" i="11"/>
  <c r="D1052" i="11"/>
  <c r="E1050" i="11"/>
  <c r="E1048" i="11"/>
  <c r="D1047" i="11"/>
  <c r="E1046" i="11"/>
  <c r="D1046" i="11"/>
  <c r="E1044" i="11"/>
  <c r="E1042" i="11"/>
  <c r="E1040" i="11"/>
  <c r="E1036" i="11"/>
  <c r="E1034" i="11"/>
  <c r="D1034" i="11"/>
  <c r="E1032" i="11"/>
  <c r="D1031" i="11"/>
  <c r="E1030" i="11"/>
  <c r="D1030" i="11"/>
  <c r="E1028" i="11"/>
  <c r="E1026" i="11"/>
  <c r="E1024" i="11"/>
  <c r="E1022" i="11"/>
  <c r="D1022" i="11"/>
  <c r="D1020" i="11"/>
  <c r="E1018" i="11"/>
  <c r="E1016" i="11"/>
  <c r="D1014" i="11"/>
  <c r="E1012" i="11"/>
  <c r="D1012" i="11"/>
  <c r="E1010" i="11"/>
  <c r="E1008" i="11"/>
  <c r="E1006" i="11"/>
  <c r="D1006" i="11"/>
  <c r="E1004" i="11"/>
  <c r="D1004" i="11"/>
  <c r="E1002" i="11"/>
  <c r="E1000" i="11"/>
  <c r="E998" i="11"/>
  <c r="D998" i="11"/>
  <c r="E996" i="11"/>
  <c r="D996" i="11"/>
  <c r="E994" i="11"/>
  <c r="E990" i="11"/>
  <c r="E988" i="11"/>
  <c r="E986" i="11"/>
  <c r="E984" i="11"/>
  <c r="E982" i="11"/>
  <c r="E978" i="11"/>
  <c r="D978" i="11"/>
  <c r="E976" i="11"/>
  <c r="E974" i="11"/>
  <c r="D974" i="11"/>
  <c r="E972" i="11"/>
  <c r="D972" i="11"/>
  <c r="D970" i="11"/>
  <c r="D966" i="11"/>
  <c r="E964" i="11"/>
  <c r="D964" i="11"/>
  <c r="E962" i="11"/>
  <c r="E958" i="11"/>
  <c r="E956" i="11"/>
  <c r="E954" i="11"/>
  <c r="E950" i="11"/>
  <c r="D950" i="11"/>
  <c r="E948" i="11"/>
  <c r="D948" i="11"/>
  <c r="E946" i="11"/>
  <c r="D946" i="11"/>
  <c r="E944" i="11"/>
  <c r="E942" i="11"/>
  <c r="E940" i="11"/>
  <c r="D940" i="11"/>
  <c r="D938" i="11"/>
  <c r="E936" i="11"/>
  <c r="E934" i="11"/>
  <c r="D934" i="11"/>
  <c r="E932" i="11"/>
  <c r="D932" i="11"/>
  <c r="E930" i="11"/>
  <c r="D930" i="11"/>
  <c r="E928" i="11"/>
  <c r="E922" i="11"/>
  <c r="E920" i="11"/>
  <c r="E916" i="11"/>
  <c r="E914" i="11"/>
  <c r="E912" i="11"/>
  <c r="E906" i="11"/>
  <c r="E904" i="11"/>
  <c r="D898" i="11"/>
  <c r="E896" i="11"/>
  <c r="E892" i="11"/>
  <c r="D890" i="11"/>
  <c r="E888" i="11"/>
  <c r="E884" i="11"/>
  <c r="D884" i="11"/>
  <c r="E880" i="11"/>
  <c r="E878" i="11"/>
  <c r="D878" i="11"/>
  <c r="D876" i="11"/>
  <c r="E872" i="11"/>
  <c r="E868" i="11"/>
  <c r="D868" i="11"/>
  <c r="E866" i="11"/>
  <c r="D866" i="11"/>
  <c r="E864" i="11"/>
  <c r="E858" i="11"/>
  <c r="D858" i="11"/>
  <c r="E856" i="11"/>
  <c r="E848" i="11"/>
  <c r="E846" i="11"/>
  <c r="D846" i="11"/>
  <c r="E842" i="11"/>
  <c r="D842" i="11"/>
  <c r="E840" i="11"/>
  <c r="D838" i="11"/>
  <c r="E836" i="11"/>
  <c r="E832" i="11"/>
  <c r="E830" i="11"/>
  <c r="E828" i="11"/>
  <c r="E824" i="11"/>
  <c r="E822" i="11"/>
  <c r="E820" i="11"/>
  <c r="D820" i="11"/>
  <c r="E818" i="11"/>
  <c r="D818" i="11"/>
  <c r="E816" i="11"/>
  <c r="E814" i="11"/>
  <c r="D814" i="11"/>
  <c r="E812" i="11"/>
  <c r="D812" i="11"/>
  <c r="D810" i="11"/>
  <c r="E808" i="11"/>
  <c r="E804" i="11"/>
  <c r="D804" i="11"/>
  <c r="E800" i="11"/>
  <c r="E798" i="11"/>
  <c r="E796" i="11"/>
  <c r="E794" i="11"/>
  <c r="D794" i="11"/>
  <c r="E792" i="11"/>
  <c r="D790" i="11"/>
  <c r="D788" i="11"/>
  <c r="E786" i="11"/>
  <c r="D786" i="11"/>
  <c r="E784" i="11"/>
  <c r="E782" i="11"/>
  <c r="E780" i="11"/>
  <c r="E778" i="11"/>
  <c r="D778" i="11"/>
  <c r="E776" i="11"/>
  <c r="E772" i="11"/>
  <c r="E770" i="11"/>
  <c r="D770" i="11"/>
  <c r="E768" i="11"/>
  <c r="E764" i="11"/>
  <c r="E762" i="11"/>
  <c r="D762" i="11"/>
  <c r="E760" i="11"/>
  <c r="D756" i="11"/>
  <c r="D754" i="11"/>
  <c r="E752" i="11"/>
  <c r="E746" i="11"/>
  <c r="D746" i="11"/>
  <c r="E744" i="11"/>
  <c r="E740" i="11"/>
  <c r="D738" i="11"/>
  <c r="E736" i="11"/>
  <c r="E728" i="11"/>
  <c r="E726" i="11"/>
  <c r="D724" i="11"/>
  <c r="E722" i="11"/>
  <c r="E720" i="11"/>
  <c r="E718" i="11"/>
  <c r="D716" i="11"/>
  <c r="E714" i="11"/>
  <c r="E712" i="11"/>
  <c r="D710" i="11"/>
  <c r="D708" i="11"/>
  <c r="E704" i="11"/>
  <c r="E700" i="11"/>
  <c r="E696" i="11"/>
  <c r="D690" i="11"/>
  <c r="E688" i="11"/>
  <c r="E686" i="11"/>
  <c r="D686" i="11"/>
  <c r="E684" i="11"/>
  <c r="D684" i="11"/>
  <c r="E682" i="11"/>
  <c r="D682" i="11"/>
  <c r="E678" i="11"/>
  <c r="E676" i="11"/>
  <c r="E674" i="11"/>
  <c r="E672" i="11"/>
  <c r="E670" i="11"/>
  <c r="D670" i="11"/>
  <c r="E668" i="11"/>
  <c r="D668" i="11"/>
  <c r="E666" i="11"/>
  <c r="D666" i="11"/>
  <c r="E664" i="11"/>
  <c r="D662" i="11"/>
  <c r="E660" i="11"/>
  <c r="D660" i="11"/>
  <c r="E658" i="11"/>
  <c r="E656" i="11"/>
  <c r="E654" i="11"/>
  <c r="D654" i="11"/>
  <c r="D652" i="11"/>
  <c r="E650" i="11"/>
  <c r="D650" i="11"/>
  <c r="E648" i="11"/>
  <c r="E646" i="11"/>
  <c r="D646" i="11"/>
  <c r="E644" i="11"/>
  <c r="D644" i="11"/>
  <c r="E642" i="11"/>
  <c r="E640" i="11"/>
  <c r="E638" i="11"/>
  <c r="E636" i="11"/>
  <c r="D636" i="11"/>
  <c r="E632" i="11"/>
  <c r="E628" i="11"/>
  <c r="D628" i="11"/>
  <c r="E626" i="11"/>
  <c r="E624" i="11"/>
  <c r="E622" i="11"/>
  <c r="D622" i="11"/>
  <c r="D620" i="11"/>
  <c r="E618" i="11"/>
  <c r="D618" i="11"/>
  <c r="E616" i="11"/>
  <c r="E610" i="11"/>
  <c r="D610" i="11"/>
  <c r="E608" i="11"/>
  <c r="E600" i="11"/>
  <c r="E598" i="11"/>
  <c r="D598" i="11"/>
  <c r="E596" i="11"/>
  <c r="E594" i="11"/>
  <c r="D594" i="11"/>
  <c r="E586" i="11"/>
  <c r="E584" i="11"/>
  <c r="E582" i="11"/>
  <c r="D582" i="11"/>
  <c r="D578" i="11"/>
  <c r="E576" i="11"/>
  <c r="E572" i="11"/>
  <c r="D572" i="11"/>
  <c r="E570" i="11"/>
  <c r="E566" i="11"/>
  <c r="E564" i="11"/>
  <c r="D564" i="11"/>
  <c r="E562" i="11"/>
  <c r="E560" i="11"/>
  <c r="E558" i="11"/>
  <c r="E556" i="11"/>
  <c r="E554" i="11"/>
  <c r="E552" i="11"/>
  <c r="E548" i="11"/>
  <c r="D548" i="11"/>
  <c r="E546" i="11"/>
  <c r="E542" i="11"/>
  <c r="D542" i="11"/>
  <c r="E540" i="11"/>
  <c r="E538" i="11"/>
  <c r="D538" i="11"/>
  <c r="E534" i="11"/>
  <c r="E532" i="11"/>
  <c r="D532" i="11"/>
  <c r="E528" i="11"/>
  <c r="D526" i="11"/>
  <c r="E524" i="11"/>
  <c r="D524" i="11"/>
  <c r="D522" i="11"/>
  <c r="E518" i="11"/>
  <c r="D518" i="11"/>
  <c r="E516" i="11"/>
  <c r="E514" i="11"/>
  <c r="D514" i="11"/>
  <c r="E512" i="11"/>
  <c r="D510" i="11"/>
  <c r="E508" i="11"/>
  <c r="D508" i="11"/>
  <c r="E506" i="11"/>
  <c r="E504" i="11"/>
  <c r="E502" i="11"/>
  <c r="E500" i="11"/>
  <c r="D500" i="11"/>
  <c r="E498" i="11"/>
  <c r="D498" i="11"/>
  <c r="E494" i="11"/>
  <c r="D494" i="11"/>
  <c r="E492" i="11"/>
  <c r="E490" i="11"/>
  <c r="E486" i="11"/>
  <c r="E484" i="11"/>
  <c r="E478" i="11"/>
  <c r="E476" i="11"/>
  <c r="D476" i="11"/>
  <c r="E474" i="11"/>
  <c r="D474" i="11"/>
  <c r="E472" i="11"/>
  <c r="E470" i="11"/>
  <c r="E468" i="11"/>
  <c r="D468" i="11"/>
  <c r="D466" i="11"/>
  <c r="E462" i="11"/>
  <c r="D462" i="11"/>
  <c r="E460" i="11"/>
  <c r="E458" i="11"/>
  <c r="E454" i="11"/>
  <c r="E452" i="11"/>
  <c r="D452" i="11"/>
  <c r="E450" i="11"/>
  <c r="D450" i="11"/>
  <c r="E446" i="11"/>
  <c r="D446" i="11"/>
  <c r="D444" i="11"/>
  <c r="E442" i="11"/>
  <c r="D442" i="11"/>
  <c r="E438" i="11"/>
  <c r="D438" i="11"/>
  <c r="E436" i="11"/>
  <c r="D436" i="11"/>
  <c r="D434" i="11"/>
  <c r="D430" i="11"/>
  <c r="E428" i="11"/>
  <c r="E426" i="11"/>
  <c r="D426" i="11"/>
  <c r="E424" i="11"/>
  <c r="D422" i="11"/>
  <c r="E420" i="11"/>
  <c r="D420" i="11"/>
  <c r="E418" i="11"/>
  <c r="D418" i="11"/>
  <c r="E416" i="11"/>
  <c r="E412" i="11"/>
  <c r="D412" i="11"/>
  <c r="D410" i="11"/>
  <c r="E408" i="11"/>
  <c r="D406" i="11"/>
  <c r="E404" i="11"/>
  <c r="D404" i="11"/>
  <c r="E402" i="11"/>
  <c r="E400" i="11"/>
  <c r="E396" i="11"/>
  <c r="E394" i="11"/>
  <c r="D394" i="11"/>
  <c r="E392" i="11"/>
  <c r="E390" i="11"/>
  <c r="D388" i="11"/>
  <c r="E386" i="11"/>
  <c r="E382" i="11"/>
  <c r="E380" i="11"/>
  <c r="D380" i="11"/>
  <c r="E378" i="11"/>
  <c r="D378" i="11"/>
  <c r="E376" i="11"/>
  <c r="D374" i="11"/>
  <c r="E372" i="11"/>
  <c r="D372" i="11"/>
  <c r="E366" i="11"/>
  <c r="E364" i="11"/>
  <c r="E362" i="11"/>
  <c r="E360" i="11"/>
  <c r="E358" i="11"/>
  <c r="E356" i="11"/>
  <c r="D356" i="11"/>
  <c r="E354" i="11"/>
  <c r="E350" i="11"/>
  <c r="E348" i="11"/>
  <c r="D348" i="11"/>
  <c r="E346" i="11"/>
  <c r="E342" i="11"/>
  <c r="D342" i="11"/>
  <c r="E340" i="11"/>
  <c r="D340" i="11"/>
  <c r="E338" i="11"/>
  <c r="D338" i="11"/>
  <c r="E334" i="11"/>
  <c r="D334" i="11"/>
  <c r="E332" i="11"/>
  <c r="D332" i="11"/>
  <c r="E326" i="11"/>
  <c r="E324" i="11"/>
  <c r="D324" i="11"/>
  <c r="E322" i="11"/>
  <c r="D322" i="11"/>
  <c r="D316" i="11"/>
  <c r="E314" i="11"/>
  <c r="E308" i="11"/>
  <c r="D308" i="11"/>
  <c r="E306" i="11"/>
  <c r="D306" i="11"/>
  <c r="E302" i="11"/>
  <c r="D302" i="11"/>
  <c r="E300" i="11"/>
  <c r="E298" i="11"/>
  <c r="D298" i="11"/>
  <c r="E294" i="11"/>
  <c r="D294" i="11"/>
  <c r="E290" i="11"/>
  <c r="E286" i="11"/>
  <c r="D286" i="11"/>
  <c r="E284" i="11"/>
  <c r="D284" i="11"/>
  <c r="E282" i="11"/>
  <c r="D282" i="11"/>
  <c r="E278" i="11"/>
  <c r="D278" i="11"/>
  <c r="E276" i="11"/>
  <c r="D276" i="11"/>
  <c r="E274" i="11"/>
  <c r="E270" i="11"/>
  <c r="D270" i="11"/>
  <c r="E268" i="11"/>
  <c r="D268" i="11"/>
  <c r="E266" i="11"/>
  <c r="D266" i="11"/>
  <c r="D262" i="11"/>
  <c r="E260" i="11"/>
  <c r="D260" i="11"/>
  <c r="E258" i="11"/>
  <c r="D258" i="11"/>
  <c r="E252" i="11"/>
  <c r="D252" i="11"/>
  <c r="E250" i="11"/>
  <c r="E246" i="11"/>
  <c r="D246" i="11"/>
  <c r="E238" i="11"/>
  <c r="E236" i="11"/>
  <c r="E234" i="11"/>
  <c r="D234" i="11"/>
  <c r="E230" i="11"/>
  <c r="E228" i="11"/>
  <c r="E226" i="11"/>
  <c r="D224" i="11"/>
  <c r="E220" i="11"/>
  <c r="D220" i="11"/>
  <c r="E218" i="11"/>
  <c r="D218" i="11"/>
  <c r="E214" i="11"/>
  <c r="E212" i="11"/>
  <c r="E210" i="11"/>
  <c r="D210" i="11"/>
  <c r="D208" i="11"/>
  <c r="E206" i="11"/>
  <c r="D206" i="11"/>
  <c r="E204" i="11"/>
  <c r="D204" i="11"/>
  <c r="E202" i="11"/>
  <c r="D202" i="11"/>
  <c r="E198" i="11"/>
  <c r="E196" i="11"/>
  <c r="D196" i="11"/>
  <c r="E194" i="11"/>
  <c r="E190" i="11"/>
  <c r="D190" i="11"/>
  <c r="E188" i="11"/>
  <c r="D188" i="11"/>
  <c r="E186" i="11"/>
  <c r="D186" i="11"/>
  <c r="D182" i="11"/>
  <c r="E178" i="11"/>
  <c r="D178" i="11"/>
  <c r="E174" i="11"/>
  <c r="E172" i="11"/>
  <c r="D172" i="11"/>
  <c r="E162" i="11"/>
  <c r="D156" i="11"/>
  <c r="E154" i="11"/>
  <c r="D152" i="11"/>
  <c r="E150" i="11"/>
  <c r="D150" i="11"/>
  <c r="E148" i="11"/>
  <c r="D148" i="11"/>
  <c r="E146" i="11"/>
  <c r="D146" i="11"/>
  <c r="E142" i="11"/>
  <c r="D140" i="11"/>
  <c r="E138" i="11"/>
  <c r="D138" i="11"/>
  <c r="D136" i="11"/>
  <c r="D134" i="11"/>
  <c r="E132" i="11"/>
  <c r="E130" i="11"/>
  <c r="D128" i="11"/>
  <c r="E126" i="11"/>
  <c r="D126" i="11"/>
  <c r="D124" i="11"/>
  <c r="E122" i="11"/>
  <c r="E118" i="11"/>
  <c r="D118" i="11"/>
  <c r="E116" i="11"/>
  <c r="E115" i="11"/>
  <c r="D112" i="11"/>
  <c r="E110" i="11"/>
  <c r="D110" i="11"/>
  <c r="E108" i="11"/>
  <c r="D108" i="11"/>
  <c r="E107" i="11"/>
  <c r="E100" i="11"/>
  <c r="E99" i="11"/>
  <c r="D98" i="11"/>
  <c r="E94" i="11"/>
  <c r="E92" i="11"/>
  <c r="E91" i="11"/>
  <c r="D90" i="11"/>
  <c r="E84" i="11"/>
  <c r="D84" i="11"/>
  <c r="D82" i="11"/>
  <c r="D78" i="11"/>
  <c r="E76" i="11"/>
  <c r="D76" i="11"/>
  <c r="E75" i="11"/>
  <c r="D72" i="11"/>
  <c r="E70" i="11"/>
  <c r="D70" i="11"/>
  <c r="E68" i="11"/>
  <c r="E60" i="11"/>
  <c r="E59" i="11"/>
  <c r="D58" i="11"/>
  <c r="E54" i="11"/>
  <c r="D54" i="11"/>
  <c r="E52" i="11"/>
  <c r="D52" i="11"/>
  <c r="E51" i="11"/>
  <c r="D50" i="11"/>
  <c r="D48" i="11"/>
  <c r="E46" i="11"/>
  <c r="D46" i="11"/>
  <c r="E44" i="11"/>
  <c r="E43" i="11"/>
  <c r="D42" i="11"/>
  <c r="D40" i="11"/>
  <c r="E38" i="11"/>
  <c r="E36" i="11"/>
  <c r="D36" i="11"/>
  <c r="E35" i="11"/>
  <c r="D34" i="11"/>
  <c r="D32" i="11"/>
  <c r="D30" i="11"/>
  <c r="E28" i="11"/>
  <c r="D28" i="11"/>
  <c r="E27" i="11"/>
  <c r="D26" i="11"/>
  <c r="D24" i="11"/>
  <c r="E20" i="11"/>
  <c r="D20" i="11"/>
  <c r="D16" i="11"/>
  <c r="E14" i="11"/>
  <c r="E12" i="11"/>
  <c r="D12" i="11"/>
  <c r="E11" i="11"/>
  <c r="E8" i="11"/>
  <c r="E5" i="11"/>
  <c r="E4" i="11"/>
  <c r="D4" i="11"/>
  <c r="D1023" i="11"/>
  <c r="D1015" i="11"/>
  <c r="D1007" i="11"/>
  <c r="D999" i="11"/>
  <c r="D991" i="11"/>
  <c r="D983" i="11"/>
  <c r="D975" i="11"/>
  <c r="D967" i="11"/>
  <c r="D959" i="11"/>
  <c r="D951" i="11"/>
  <c r="D943" i="11"/>
  <c r="D935" i="11"/>
  <c r="D927" i="11"/>
  <c r="D919" i="11"/>
  <c r="D911" i="11"/>
  <c r="D903" i="11"/>
  <c r="D895" i="11"/>
  <c r="D887" i="11"/>
  <c r="D879" i="11"/>
  <c r="D871" i="11"/>
  <c r="D863" i="11"/>
  <c r="D855" i="11"/>
  <c r="D847" i="11"/>
  <c r="D839" i="11"/>
  <c r="D831" i="11"/>
  <c r="D823" i="11"/>
  <c r="D815" i="11"/>
  <c r="D807" i="11"/>
  <c r="D799" i="11"/>
  <c r="D791" i="11"/>
  <c r="D783" i="11"/>
  <c r="D775" i="11"/>
  <c r="D767" i="11"/>
  <c r="D759" i="11"/>
  <c r="D751" i="11"/>
  <c r="D743" i="11"/>
  <c r="D735" i="11"/>
  <c r="D727" i="11"/>
  <c r="D719" i="11"/>
  <c r="D711" i="11"/>
  <c r="D703" i="11"/>
  <c r="D695" i="11"/>
  <c r="D687" i="11"/>
  <c r="D679" i="11"/>
  <c r="D671" i="11"/>
  <c r="D663" i="11"/>
  <c r="D655" i="11"/>
  <c r="D647" i="11"/>
  <c r="D639" i="11"/>
  <c r="D631" i="11"/>
  <c r="D623" i="11"/>
  <c r="D615" i="11"/>
  <c r="D607" i="11"/>
  <c r="D599" i="11"/>
  <c r="D591" i="11"/>
  <c r="D583" i="11"/>
  <c r="D575" i="11"/>
  <c r="D567" i="11"/>
  <c r="D559" i="11"/>
  <c r="D551" i="11"/>
  <c r="D543" i="11"/>
  <c r="D535" i="11"/>
  <c r="D527" i="11"/>
  <c r="D519" i="11"/>
  <c r="D511" i="11"/>
  <c r="D503" i="11"/>
  <c r="D495" i="11"/>
  <c r="D487" i="11"/>
  <c r="D479" i="11"/>
  <c r="D471" i="11"/>
  <c r="D463" i="11"/>
  <c r="D455" i="11"/>
  <c r="D447" i="11"/>
  <c r="D439" i="11"/>
  <c r="D431" i="11"/>
  <c r="D423" i="11"/>
  <c r="D415" i="11"/>
  <c r="D407" i="11"/>
  <c r="D399" i="11"/>
  <c r="D391" i="11"/>
  <c r="D383" i="11"/>
  <c r="D375" i="11"/>
  <c r="D367" i="11"/>
  <c r="D359" i="11"/>
  <c r="D351" i="11"/>
  <c r="D343" i="11"/>
  <c r="D335" i="11"/>
  <c r="D327" i="11"/>
  <c r="D319" i="11"/>
  <c r="D311" i="11"/>
  <c r="D303" i="11"/>
  <c r="D295" i="11"/>
  <c r="D287" i="11"/>
  <c r="D279" i="11"/>
  <c r="D271" i="11"/>
  <c r="D263" i="11"/>
  <c r="D255" i="11"/>
  <c r="D247" i="11"/>
  <c r="D239" i="11"/>
  <c r="D231" i="11"/>
  <c r="D223" i="11"/>
  <c r="D1253" i="11"/>
  <c r="D1245" i="11"/>
  <c r="D1237" i="11"/>
  <c r="D1229" i="11"/>
  <c r="D1221" i="11"/>
  <c r="D1213" i="11"/>
  <c r="D1205" i="11"/>
  <c r="D1197" i="11"/>
  <c r="D1189" i="11"/>
  <c r="D1181" i="11"/>
  <c r="D1173" i="11"/>
  <c r="D1165" i="11"/>
  <c r="D1157" i="11"/>
  <c r="D1149" i="11"/>
  <c r="D1141" i="11"/>
  <c r="D1133" i="11"/>
  <c r="D1125" i="11"/>
  <c r="D1117" i="11"/>
  <c r="D1109" i="11"/>
  <c r="D1101" i="11"/>
  <c r="D1093" i="11"/>
  <c r="D1085" i="11"/>
  <c r="D1077" i="11"/>
  <c r="D1069" i="11"/>
  <c r="D1061" i="11"/>
  <c r="D1053" i="11"/>
  <c r="D1045" i="11"/>
  <c r="D1037" i="11"/>
  <c r="D1029" i="11"/>
  <c r="D1021" i="11"/>
  <c r="D1013" i="11"/>
  <c r="D1005" i="11"/>
  <c r="D997" i="11"/>
  <c r="D989" i="11"/>
  <c r="D981" i="11"/>
  <c r="D973" i="11"/>
  <c r="D965" i="11"/>
  <c r="D957" i="11"/>
  <c r="D949" i="11"/>
  <c r="D941" i="11"/>
  <c r="D933" i="11"/>
  <c r="D925" i="11"/>
  <c r="D917" i="11"/>
  <c r="D909" i="11"/>
  <c r="D901" i="11"/>
  <c r="D893" i="11"/>
  <c r="D885" i="11"/>
  <c r="D877" i="11"/>
  <c r="D869" i="11"/>
  <c r="D861" i="11"/>
  <c r="D853" i="11"/>
  <c r="D845" i="11"/>
  <c r="D837" i="11"/>
  <c r="D829" i="11"/>
  <c r="D821" i="11"/>
  <c r="D813" i="11"/>
  <c r="D805" i="11"/>
  <c r="D797" i="11"/>
  <c r="D789" i="11"/>
  <c r="D781" i="11"/>
  <c r="D773" i="11"/>
  <c r="D765" i="11"/>
  <c r="D757" i="11"/>
  <c r="D749" i="11"/>
  <c r="D741" i="11"/>
  <c r="D733" i="11"/>
  <c r="D725" i="11"/>
  <c r="D717" i="11"/>
  <c r="D709" i="11"/>
  <c r="D701" i="11"/>
  <c r="D693" i="11"/>
  <c r="D685" i="11"/>
  <c r="D677" i="11"/>
  <c r="D669" i="11"/>
  <c r="D661" i="11"/>
  <c r="D653" i="11"/>
  <c r="D645" i="11"/>
  <c r="D637" i="11"/>
  <c r="D629" i="11"/>
  <c r="D621" i="11"/>
  <c r="D613" i="11"/>
  <c r="D605" i="11"/>
  <c r="D597" i="11"/>
  <c r="D589" i="11"/>
  <c r="D581" i="11"/>
  <c r="D573" i="11"/>
  <c r="D565" i="11"/>
  <c r="D557" i="11"/>
  <c r="D549" i="11"/>
  <c r="D541" i="11"/>
  <c r="D533" i="11"/>
  <c r="D525" i="11"/>
  <c r="D517" i="11"/>
  <c r="D509" i="11"/>
  <c r="D501" i="11"/>
  <c r="D493" i="11"/>
  <c r="D485" i="11"/>
  <c r="D477" i="11"/>
  <c r="D469" i="11"/>
  <c r="D461" i="11"/>
  <c r="D453" i="11"/>
  <c r="D445" i="11"/>
  <c r="D437" i="11"/>
  <c r="D429" i="11"/>
  <c r="D421" i="11"/>
  <c r="D413" i="11"/>
  <c r="D405" i="11"/>
  <c r="D397" i="11"/>
  <c r="D389" i="11"/>
  <c r="D381" i="11"/>
  <c r="D373" i="11"/>
  <c r="D365" i="11"/>
  <c r="D357" i="11"/>
  <c r="D349" i="11"/>
  <c r="D341" i="11"/>
  <c r="D333" i="11"/>
  <c r="D325" i="11"/>
  <c r="D317" i="11"/>
  <c r="D309" i="11"/>
  <c r="D301" i="11"/>
  <c r="D293" i="11"/>
  <c r="D285" i="11"/>
  <c r="D277" i="11"/>
  <c r="D269" i="11"/>
  <c r="D261" i="11"/>
  <c r="D253" i="11"/>
  <c r="D245" i="11"/>
  <c r="D237" i="11"/>
  <c r="D229" i="11"/>
  <c r="D221" i="11"/>
  <c r="D213" i="11"/>
  <c r="D205" i="11"/>
  <c r="D197" i="11"/>
  <c r="D189" i="11"/>
  <c r="D181" i="11"/>
  <c r="D173" i="11"/>
  <c r="D165" i="11"/>
  <c r="D157" i="11"/>
  <c r="D149" i="11"/>
  <c r="D141" i="11"/>
  <c r="D133" i="11"/>
  <c r="D125" i="11"/>
  <c r="D117" i="11"/>
  <c r="D109" i="11"/>
  <c r="D101" i="11"/>
  <c r="D93" i="11"/>
  <c r="D85" i="11"/>
  <c r="D77" i="11"/>
  <c r="D69" i="11"/>
  <c r="D61" i="11"/>
  <c r="D53" i="11"/>
  <c r="D45" i="11"/>
  <c r="D37" i="11"/>
  <c r="D29" i="11"/>
  <c r="D21" i="11"/>
  <c r="D13" i="11"/>
  <c r="D5" i="11"/>
  <c r="E1253" i="11"/>
  <c r="E1245" i="11"/>
  <c r="E1237" i="11"/>
  <c r="E1229" i="11"/>
  <c r="E1221" i="11"/>
  <c r="E1213" i="11"/>
  <c r="E1205" i="11"/>
  <c r="E1197" i="11"/>
  <c r="E1189" i="11"/>
  <c r="E1181" i="11"/>
  <c r="E1173" i="11"/>
  <c r="E1165" i="11"/>
  <c r="E1157" i="11"/>
  <c r="D1251" i="11"/>
  <c r="D1243" i="11"/>
  <c r="D1235" i="11"/>
  <c r="D1227" i="11"/>
  <c r="D1219" i="11"/>
  <c r="D1211" i="11"/>
  <c r="D1203" i="11"/>
  <c r="D1195" i="11"/>
  <c r="D1187" i="11"/>
  <c r="D1179" i="11"/>
  <c r="D1171" i="11"/>
  <c r="D1163" i="11"/>
  <c r="D1155" i="11"/>
  <c r="D1147" i="11"/>
  <c r="D1139" i="11"/>
  <c r="D1131" i="11"/>
  <c r="D1123" i="11"/>
  <c r="D1115" i="11"/>
  <c r="D1107" i="11"/>
  <c r="D1099" i="11"/>
  <c r="D1091" i="11"/>
  <c r="D1083" i="11"/>
  <c r="D1075" i="11"/>
  <c r="D1067" i="11"/>
  <c r="D1059" i="11"/>
  <c r="D1051" i="11"/>
  <c r="D1043" i="11"/>
  <c r="D1035" i="11"/>
  <c r="D1027" i="11"/>
  <c r="D1019" i="11"/>
  <c r="D1011" i="11"/>
  <c r="D1003" i="11"/>
  <c r="D995" i="11"/>
  <c r="D987" i="11"/>
  <c r="D979" i="11"/>
  <c r="D971" i="11"/>
  <c r="D963" i="11"/>
  <c r="D955" i="11"/>
  <c r="D947" i="11"/>
  <c r="D939" i="11"/>
  <c r="D931" i="11"/>
  <c r="D923" i="11"/>
  <c r="D915" i="11"/>
  <c r="D907" i="11"/>
  <c r="D899" i="11"/>
  <c r="D891" i="11"/>
  <c r="D883" i="11"/>
  <c r="D875" i="11"/>
  <c r="D867" i="11"/>
  <c r="D859" i="11"/>
  <c r="D851" i="11"/>
  <c r="D843" i="11"/>
  <c r="D835" i="11"/>
  <c r="D827" i="11"/>
  <c r="D819" i="11"/>
  <c r="D811" i="11"/>
  <c r="D803" i="11"/>
  <c r="D795" i="11"/>
  <c r="D787" i="11"/>
  <c r="D779" i="11"/>
  <c r="D771" i="11"/>
  <c r="D763" i="11"/>
  <c r="D755" i="11"/>
  <c r="D747" i="11"/>
  <c r="D739" i="11"/>
  <c r="D731" i="11"/>
  <c r="D723" i="11"/>
  <c r="D715" i="11"/>
  <c r="D707" i="11"/>
  <c r="D699" i="11"/>
  <c r="D691" i="11"/>
  <c r="D683" i="11"/>
  <c r="D675" i="11"/>
  <c r="D667" i="11"/>
  <c r="D659" i="11"/>
  <c r="D651" i="11"/>
  <c r="D643" i="11"/>
  <c r="D635" i="11"/>
  <c r="D627" i="11"/>
  <c r="D619" i="11"/>
  <c r="D611" i="11"/>
  <c r="D603" i="11"/>
  <c r="D595" i="11"/>
  <c r="D587" i="11"/>
  <c r="D579" i="11"/>
  <c r="D571" i="11"/>
  <c r="D563" i="11"/>
  <c r="D555" i="11"/>
  <c r="D547" i="11"/>
  <c r="D539" i="11"/>
  <c r="D531" i="11"/>
  <c r="D523" i="11"/>
  <c r="D515" i="11"/>
  <c r="D507" i="11"/>
  <c r="D499" i="11"/>
  <c r="D491" i="11"/>
  <c r="D483" i="11"/>
  <c r="D475" i="11"/>
  <c r="D467" i="11"/>
  <c r="D459" i="11"/>
  <c r="D451" i="11"/>
  <c r="D443" i="11"/>
  <c r="D435" i="11"/>
  <c r="D427" i="11"/>
  <c r="D419" i="11"/>
  <c r="D411" i="11"/>
  <c r="D403" i="11"/>
  <c r="D395" i="11"/>
  <c r="D387" i="11"/>
  <c r="D379" i="11"/>
  <c r="D371" i="11"/>
  <c r="D363" i="11"/>
  <c r="D355" i="11"/>
  <c r="D347" i="11"/>
  <c r="D339" i="11"/>
  <c r="D331" i="11"/>
  <c r="D323" i="11"/>
  <c r="D315" i="11"/>
  <c r="D307" i="11"/>
  <c r="D299" i="11"/>
  <c r="D291" i="11"/>
  <c r="D283" i="11"/>
  <c r="D275" i="11"/>
  <c r="D267" i="11"/>
  <c r="D259" i="11"/>
  <c r="D251" i="11"/>
  <c r="D243" i="11"/>
  <c r="D235" i="11"/>
  <c r="D227" i="11"/>
  <c r="D1257" i="11"/>
  <c r="D1249" i="11"/>
  <c r="D1241" i="11"/>
  <c r="D1233" i="11"/>
  <c r="D1225" i="11"/>
  <c r="D1217" i="11"/>
  <c r="D1209" i="11"/>
  <c r="D1201" i="11"/>
  <c r="D1193" i="11"/>
  <c r="D1185" i="11"/>
  <c r="D1177" i="11"/>
  <c r="D1169" i="11"/>
  <c r="D1161" i="11"/>
  <c r="D1153" i="11"/>
  <c r="D1145" i="11"/>
  <c r="D1137" i="11"/>
  <c r="D1129" i="11"/>
  <c r="D1121" i="11"/>
  <c r="D1113" i="11"/>
  <c r="D1105" i="11"/>
  <c r="D1097" i="11"/>
  <c r="D1089" i="11"/>
  <c r="D1081" i="11"/>
  <c r="D1073" i="11"/>
  <c r="D1065" i="11"/>
  <c r="D1057" i="11"/>
  <c r="D1049" i="11"/>
  <c r="D1041" i="11"/>
  <c r="D1033" i="11"/>
  <c r="D1025" i="11"/>
  <c r="D1017" i="11"/>
  <c r="D1009" i="11"/>
  <c r="D1001" i="11"/>
  <c r="D993" i="11"/>
  <c r="D985" i="11"/>
  <c r="D977" i="11"/>
  <c r="D969" i="11"/>
  <c r="D961" i="11"/>
  <c r="D953" i="11"/>
  <c r="D945" i="11"/>
  <c r="D937" i="11"/>
  <c r="D929" i="11"/>
  <c r="D921" i="11"/>
  <c r="D913" i="11"/>
  <c r="D1256" i="11"/>
  <c r="D1248" i="11"/>
  <c r="D1240" i="11"/>
  <c r="D1232" i="11"/>
  <c r="D1224" i="11"/>
  <c r="D1216" i="11"/>
  <c r="D1208" i="11"/>
  <c r="D1200" i="11"/>
  <c r="D1192" i="11"/>
  <c r="D1184" i="11"/>
  <c r="D1176" i="11"/>
  <c r="D1168" i="11"/>
  <c r="D1160" i="11"/>
  <c r="D1152" i="11"/>
  <c r="D1144" i="11"/>
  <c r="D1136" i="11"/>
  <c r="D1128" i="11"/>
  <c r="D1120" i="11"/>
  <c r="D1112" i="11"/>
  <c r="D1104" i="11"/>
  <c r="D1096" i="11"/>
  <c r="D1088" i="11"/>
  <c r="D1080" i="11"/>
  <c r="D1072" i="11"/>
  <c r="D1064" i="11"/>
  <c r="D1056" i="11"/>
  <c r="D1048" i="11"/>
  <c r="D1040" i="11"/>
  <c r="D1032" i="11"/>
  <c r="D1024" i="11"/>
  <c r="D1016" i="11"/>
  <c r="D1008" i="11"/>
  <c r="D1000" i="11"/>
  <c r="D992" i="11"/>
  <c r="D984" i="11"/>
  <c r="D976" i="11"/>
  <c r="D968" i="11"/>
  <c r="D960" i="11"/>
  <c r="D952" i="11"/>
  <c r="D944" i="11"/>
  <c r="D936" i="11"/>
  <c r="D928" i="11"/>
  <c r="D920" i="11"/>
  <c r="D912" i="11"/>
  <c r="D904" i="11"/>
  <c r="D896" i="11"/>
  <c r="D888" i="11"/>
  <c r="D880" i="11"/>
  <c r="D872" i="11"/>
  <c r="D864" i="11"/>
  <c r="D856" i="11"/>
  <c r="D848" i="11"/>
  <c r="D840" i="11"/>
  <c r="D832" i="11"/>
  <c r="D824" i="11"/>
  <c r="D816" i="11"/>
  <c r="D808" i="11"/>
  <c r="D800" i="11"/>
  <c r="D792" i="11"/>
  <c r="D784" i="11"/>
  <c r="D776" i="11"/>
  <c r="D768" i="11"/>
  <c r="D760" i="11"/>
  <c r="D752" i="11"/>
  <c r="D744" i="11"/>
  <c r="D736" i="11"/>
  <c r="D728" i="11"/>
  <c r="D720" i="11"/>
  <c r="D712" i="11"/>
  <c r="D704" i="11"/>
  <c r="D696" i="11"/>
  <c r="D688" i="11"/>
  <c r="D680" i="11"/>
  <c r="D672" i="11"/>
  <c r="D664" i="11"/>
  <c r="D656" i="11"/>
  <c r="D648" i="11"/>
  <c r="D640" i="11"/>
  <c r="D632" i="11"/>
  <c r="D624" i="11"/>
  <c r="D616" i="11"/>
  <c r="D608" i="11"/>
  <c r="D600" i="11"/>
  <c r="D592" i="11"/>
  <c r="D584" i="11"/>
  <c r="D576" i="11"/>
  <c r="D568" i="11"/>
  <c r="D560" i="11"/>
  <c r="D552" i="11"/>
  <c r="D544" i="11"/>
  <c r="D536" i="11"/>
  <c r="D528" i="11"/>
  <c r="D520" i="11"/>
  <c r="D512" i="11"/>
  <c r="D504" i="11"/>
  <c r="D496" i="11"/>
  <c r="D488" i="11"/>
  <c r="D480" i="11"/>
  <c r="D472" i="11"/>
  <c r="D464" i="11"/>
  <c r="D456" i="11"/>
  <c r="D448" i="11"/>
  <c r="D440" i="11"/>
  <c r="D432" i="11"/>
  <c r="D424" i="11"/>
  <c r="D416" i="11"/>
  <c r="D408" i="11"/>
  <c r="D400" i="11"/>
  <c r="D392" i="11"/>
  <c r="D384" i="11"/>
  <c r="D376" i="11"/>
  <c r="D368" i="11"/>
  <c r="D360" i="11"/>
  <c r="D352" i="11"/>
  <c r="D344" i="11"/>
  <c r="D336" i="11"/>
  <c r="D328" i="11"/>
  <c r="D320" i="11"/>
  <c r="D312" i="11"/>
  <c r="D304" i="11"/>
  <c r="D296" i="11"/>
  <c r="D288" i="11"/>
  <c r="D280" i="11"/>
  <c r="D272" i="11"/>
  <c r="D264" i="11"/>
  <c r="D256" i="11"/>
  <c r="D248" i="11"/>
  <c r="D240" i="11"/>
  <c r="D232" i="11"/>
  <c r="D215" i="11"/>
  <c r="D207" i="11"/>
  <c r="D199" i="11"/>
  <c r="D191" i="11"/>
  <c r="D183" i="11"/>
  <c r="D175" i="11"/>
  <c r="D167" i="11"/>
  <c r="D159" i="11"/>
  <c r="D151" i="11"/>
  <c r="D143" i="11"/>
  <c r="D135" i="11"/>
  <c r="D127" i="11"/>
  <c r="D119" i="11"/>
  <c r="D111" i="11"/>
  <c r="D103" i="11"/>
  <c r="D95" i="11"/>
  <c r="D87" i="11"/>
  <c r="D79" i="11"/>
  <c r="D71" i="11"/>
  <c r="D63" i="11"/>
  <c r="D55" i="11"/>
  <c r="D47" i="11"/>
  <c r="D39" i="11"/>
  <c r="D31" i="11"/>
  <c r="D23" i="11"/>
  <c r="D15" i="11"/>
  <c r="D7" i="11"/>
  <c r="E1255" i="11"/>
  <c r="E1247" i="11"/>
  <c r="E1239" i="11"/>
  <c r="E1231" i="11"/>
  <c r="E1223" i="11"/>
  <c r="E1215" i="11"/>
  <c r="E1207" i="11"/>
  <c r="E1199" i="11"/>
  <c r="E1191" i="11"/>
  <c r="E1183" i="11"/>
  <c r="E1175" i="11"/>
  <c r="E1167" i="11"/>
  <c r="E1159" i="11"/>
  <c r="E1151" i="11"/>
  <c r="E1143" i="11"/>
  <c r="E1135" i="11"/>
  <c r="E1127" i="11"/>
  <c r="E1119" i="11"/>
  <c r="E1111" i="11"/>
  <c r="E1103" i="11"/>
  <c r="E1095" i="11"/>
  <c r="E1087" i="11"/>
  <c r="E1079" i="11"/>
  <c r="E1071" i="11"/>
  <c r="E1063" i="11"/>
  <c r="E1055" i="11"/>
  <c r="E1047" i="11"/>
  <c r="E1039" i="11"/>
  <c r="E1031" i="11"/>
  <c r="E1023" i="11"/>
  <c r="E1015" i="11"/>
  <c r="E1007" i="11"/>
  <c r="E999" i="11"/>
  <c r="E991" i="11"/>
  <c r="E983" i="11"/>
  <c r="E975" i="11"/>
  <c r="E967" i="11"/>
  <c r="E959" i="11"/>
  <c r="E951" i="11"/>
  <c r="E943" i="11"/>
  <c r="E935" i="11"/>
  <c r="E927" i="11"/>
  <c r="E919" i="11"/>
  <c r="E911" i="11"/>
  <c r="E903" i="11"/>
  <c r="E895" i="11"/>
  <c r="E887" i="11"/>
  <c r="E879" i="11"/>
  <c r="E871" i="11"/>
  <c r="E863" i="11"/>
  <c r="E855" i="11"/>
  <c r="E847" i="11"/>
  <c r="E839" i="11"/>
  <c r="E831" i="11"/>
  <c r="E823" i="11"/>
  <c r="E815" i="11"/>
  <c r="E807" i="11"/>
  <c r="E799" i="11"/>
  <c r="E791" i="11"/>
  <c r="E783" i="11"/>
  <c r="E775" i="11"/>
  <c r="E767" i="11"/>
  <c r="E759" i="11"/>
  <c r="E751" i="11"/>
  <c r="E743" i="11"/>
  <c r="E735" i="11"/>
  <c r="E727" i="11"/>
  <c r="E719" i="11"/>
  <c r="E711" i="11"/>
  <c r="E703" i="11"/>
  <c r="E695" i="11"/>
  <c r="E687" i="11"/>
  <c r="E679" i="11"/>
  <c r="E671" i="11"/>
  <c r="E663" i="11"/>
  <c r="E655" i="11"/>
  <c r="E647" i="11"/>
  <c r="E639" i="11"/>
  <c r="E631" i="11"/>
  <c r="E623" i="11"/>
  <c r="E615" i="11"/>
  <c r="E607" i="11"/>
  <c r="E599" i="11"/>
  <c r="E591" i="11"/>
  <c r="E583" i="11"/>
  <c r="E575" i="11"/>
  <c r="E567" i="11"/>
  <c r="E559" i="11"/>
  <c r="E551" i="11"/>
  <c r="E543" i="11"/>
  <c r="E535" i="11"/>
  <c r="E527" i="11"/>
  <c r="E519" i="11"/>
  <c r="E511" i="11"/>
  <c r="E503" i="11"/>
  <c r="E495" i="11"/>
  <c r="E487" i="11"/>
  <c r="E479" i="11"/>
  <c r="E471" i="11"/>
  <c r="E463" i="11"/>
  <c r="E455" i="11"/>
  <c r="E447" i="11"/>
  <c r="E439" i="11"/>
  <c r="E431" i="11"/>
  <c r="E423" i="11"/>
  <c r="E415" i="11"/>
  <c r="E407" i="11"/>
  <c r="E399" i="11"/>
  <c r="E391" i="11"/>
  <c r="E383" i="11"/>
  <c r="E375" i="11"/>
  <c r="E367" i="11"/>
  <c r="E359" i="11"/>
  <c r="E351" i="11"/>
  <c r="E343" i="11"/>
  <c r="E335" i="11"/>
  <c r="E327" i="11"/>
  <c r="E319" i="11"/>
  <c r="E311" i="11"/>
  <c r="E303" i="11"/>
  <c r="E295" i="11"/>
  <c r="E287" i="11"/>
  <c r="E279" i="11"/>
  <c r="E271" i="11"/>
  <c r="E263" i="11"/>
  <c r="E255" i="11"/>
  <c r="E247" i="11"/>
  <c r="E239" i="11"/>
  <c r="E231" i="11"/>
  <c r="E223" i="11"/>
  <c r="E215" i="11"/>
  <c r="E207" i="11"/>
  <c r="E199" i="11"/>
  <c r="E191" i="11"/>
  <c r="E183" i="11"/>
  <c r="E175" i="11"/>
  <c r="E167" i="11"/>
  <c r="E159" i="11"/>
  <c r="E151" i="11"/>
  <c r="E143" i="11"/>
  <c r="E135" i="11"/>
  <c r="E127" i="11"/>
  <c r="E119" i="11"/>
  <c r="E111" i="11"/>
  <c r="E103" i="11"/>
  <c r="E95" i="11"/>
  <c r="E87" i="11"/>
  <c r="E79" i="11"/>
  <c r="E71" i="11"/>
  <c r="E63" i="11"/>
  <c r="E55" i="11"/>
  <c r="E47" i="11"/>
  <c r="E39" i="11"/>
  <c r="E31" i="11"/>
  <c r="E23" i="11"/>
  <c r="E15" i="11"/>
  <c r="E1149" i="11"/>
  <c r="E1141" i="11"/>
  <c r="E1133" i="11"/>
  <c r="E1125" i="11"/>
  <c r="E1117" i="11"/>
  <c r="E1109" i="11"/>
  <c r="E1101" i="11"/>
  <c r="E1093" i="11"/>
  <c r="E1085" i="11"/>
  <c r="E1077" i="11"/>
  <c r="E1069" i="11"/>
  <c r="E1061" i="11"/>
  <c r="E1053" i="11"/>
  <c r="E1045" i="11"/>
  <c r="E1037" i="11"/>
  <c r="E1029" i="11"/>
  <c r="E1021" i="11"/>
  <c r="E1013" i="11"/>
  <c r="E1005" i="11"/>
  <c r="E997" i="11"/>
  <c r="E989" i="11"/>
  <c r="E981" i="11"/>
  <c r="E973" i="11"/>
  <c r="E965" i="11"/>
  <c r="E957" i="11"/>
  <c r="E949" i="11"/>
  <c r="E941" i="11"/>
  <c r="E933" i="11"/>
  <c r="E925" i="11"/>
  <c r="E917" i="11"/>
  <c r="E909" i="11"/>
  <c r="E901" i="11"/>
  <c r="E893" i="11"/>
  <c r="E885" i="11"/>
  <c r="E877" i="11"/>
  <c r="E869" i="11"/>
  <c r="E861" i="11"/>
  <c r="E853" i="11"/>
  <c r="E845" i="11"/>
  <c r="E837" i="11"/>
  <c r="E829" i="11"/>
  <c r="E821" i="11"/>
  <c r="E813" i="11"/>
  <c r="E805" i="11"/>
  <c r="E797" i="11"/>
  <c r="E789" i="11"/>
  <c r="E781" i="11"/>
  <c r="E773" i="11"/>
  <c r="E765" i="11"/>
  <c r="E757" i="11"/>
  <c r="E749" i="11"/>
  <c r="E741" i="11"/>
  <c r="E733" i="11"/>
  <c r="E725" i="11"/>
  <c r="E717" i="11"/>
  <c r="E709" i="11"/>
  <c r="E701" i="11"/>
  <c r="E693" i="11"/>
  <c r="E685" i="11"/>
  <c r="E677" i="11"/>
  <c r="E669" i="11"/>
  <c r="E661" i="11"/>
  <c r="E653" i="11"/>
  <c r="E645" i="11"/>
  <c r="E637" i="11"/>
  <c r="E629" i="11"/>
  <c r="E621" i="11"/>
  <c r="E613" i="11"/>
  <c r="E605" i="11"/>
  <c r="E597" i="11"/>
  <c r="E589" i="11"/>
  <c r="E581" i="11"/>
  <c r="E573" i="11"/>
  <c r="E565" i="11"/>
  <c r="E557" i="11"/>
  <c r="E549" i="11"/>
  <c r="E541" i="11"/>
  <c r="E533" i="11"/>
  <c r="E525" i="11"/>
  <c r="E517" i="11"/>
  <c r="E509" i="11"/>
  <c r="E501" i="11"/>
  <c r="E493" i="11"/>
  <c r="E485" i="11"/>
  <c r="E477" i="11"/>
  <c r="E469" i="11"/>
  <c r="E461" i="11"/>
  <c r="E453" i="11"/>
  <c r="E445" i="11"/>
  <c r="E437" i="11"/>
  <c r="E429" i="11"/>
  <c r="E421" i="11"/>
  <c r="E413" i="11"/>
  <c r="E405" i="11"/>
  <c r="E397" i="11"/>
  <c r="E389" i="11"/>
  <c r="E381" i="11"/>
  <c r="E373" i="11"/>
  <c r="E365" i="11"/>
  <c r="E357" i="11"/>
  <c r="E349" i="11"/>
  <c r="E341" i="11"/>
  <c r="E333" i="11"/>
  <c r="E325" i="11"/>
  <c r="E317" i="11"/>
  <c r="E309" i="11"/>
  <c r="E301" i="11"/>
  <c r="E293" i="11"/>
  <c r="E285" i="11"/>
  <c r="E277" i="11"/>
  <c r="E269" i="11"/>
  <c r="E261" i="11"/>
  <c r="E253" i="11"/>
  <c r="E245" i="11"/>
  <c r="E237" i="11"/>
  <c r="E229" i="11"/>
  <c r="E221" i="11"/>
  <c r="E213" i="11"/>
  <c r="E205" i="11"/>
  <c r="E197" i="11"/>
  <c r="E189" i="11"/>
  <c r="E181" i="11"/>
  <c r="E173" i="11"/>
  <c r="E165" i="11"/>
  <c r="E157" i="11"/>
  <c r="E149" i="11"/>
  <c r="E141" i="11"/>
  <c r="E133" i="11"/>
  <c r="E125" i="11"/>
  <c r="E117" i="11"/>
  <c r="E109" i="11"/>
  <c r="E101" i="11"/>
  <c r="E93" i="11"/>
  <c r="E85" i="11"/>
  <c r="E77" i="11"/>
  <c r="E69" i="11"/>
  <c r="E61" i="11"/>
  <c r="E53" i="11"/>
  <c r="E45" i="11"/>
  <c r="E37" i="11"/>
  <c r="E29" i="11"/>
  <c r="E21" i="11"/>
  <c r="E13" i="11"/>
  <c r="D219" i="11"/>
  <c r="D211" i="11"/>
  <c r="D203" i="11"/>
  <c r="D195" i="11"/>
  <c r="D187" i="11"/>
  <c r="D179" i="11"/>
  <c r="D171" i="11"/>
  <c r="D163" i="11"/>
  <c r="D155" i="11"/>
  <c r="D147" i="11"/>
  <c r="D139" i="11"/>
  <c r="D131" i="11"/>
  <c r="D123" i="11"/>
  <c r="D115" i="11"/>
  <c r="D107" i="11"/>
  <c r="D99" i="11"/>
  <c r="D91" i="11"/>
  <c r="D83" i="11"/>
  <c r="D75" i="11"/>
  <c r="D67" i="11"/>
  <c r="D59" i="11"/>
  <c r="D51" i="11"/>
  <c r="D43" i="11"/>
  <c r="D35" i="11"/>
  <c r="D27" i="11"/>
  <c r="D19" i="11"/>
  <c r="D11" i="11"/>
  <c r="D3" i="11"/>
  <c r="E1251" i="11"/>
  <c r="E1243" i="11"/>
  <c r="E1235" i="11"/>
  <c r="E1227" i="11"/>
  <c r="E1219" i="11"/>
  <c r="E1211" i="11"/>
  <c r="E1203" i="11"/>
  <c r="E1195" i="11"/>
  <c r="E1187" i="11"/>
  <c r="E1179" i="11"/>
  <c r="E1171" i="11"/>
  <c r="E1163" i="11"/>
  <c r="E1155" i="11"/>
  <c r="E1147" i="11"/>
  <c r="E1139" i="11"/>
  <c r="E1131" i="11"/>
  <c r="E1123" i="11"/>
  <c r="E1115" i="11"/>
  <c r="E1107" i="11"/>
  <c r="E1099" i="11"/>
  <c r="E1091" i="11"/>
  <c r="E1083" i="11"/>
  <c r="E1075" i="11"/>
  <c r="E1067" i="11"/>
  <c r="E1059" i="11"/>
  <c r="E1051" i="11"/>
  <c r="E1043" i="11"/>
  <c r="E1035" i="11"/>
  <c r="E1027" i="11"/>
  <c r="E1019" i="11"/>
  <c r="E1011" i="11"/>
  <c r="E1003" i="11"/>
  <c r="E995" i="11"/>
  <c r="E987" i="11"/>
  <c r="E979" i="11"/>
  <c r="E971" i="11"/>
  <c r="E963" i="11"/>
  <c r="E955" i="11"/>
  <c r="E947" i="11"/>
  <c r="E939" i="11"/>
  <c r="E931" i="11"/>
  <c r="E923" i="11"/>
  <c r="E915" i="11"/>
  <c r="E907" i="11"/>
  <c r="E899" i="11"/>
  <c r="E891" i="11"/>
  <c r="E883" i="11"/>
  <c r="E875" i="11"/>
  <c r="E867" i="11"/>
  <c r="E859" i="11"/>
  <c r="E851" i="11"/>
  <c r="E843" i="11"/>
  <c r="E835" i="11"/>
  <c r="E827" i="11"/>
  <c r="E819" i="11"/>
  <c r="E811" i="11"/>
  <c r="E803" i="11"/>
  <c r="E795" i="11"/>
  <c r="E787" i="11"/>
  <c r="E779" i="11"/>
  <c r="E771" i="11"/>
  <c r="E763" i="11"/>
  <c r="E755" i="11"/>
  <c r="E747" i="11"/>
  <c r="E739" i="11"/>
  <c r="E731" i="11"/>
  <c r="E723" i="11"/>
  <c r="E715" i="11"/>
  <c r="E707" i="11"/>
  <c r="E699" i="11"/>
  <c r="E691" i="11"/>
  <c r="E683" i="11"/>
  <c r="E675" i="11"/>
  <c r="E667" i="11"/>
  <c r="E659" i="11"/>
  <c r="E651" i="11"/>
  <c r="E643" i="11"/>
  <c r="E635" i="11"/>
  <c r="E627" i="11"/>
  <c r="E619" i="11"/>
  <c r="E611" i="11"/>
  <c r="E603" i="11"/>
  <c r="E595" i="11"/>
  <c r="E587" i="11"/>
  <c r="E579" i="11"/>
  <c r="E571" i="11"/>
  <c r="E563" i="11"/>
  <c r="E555" i="11"/>
  <c r="E547" i="11"/>
  <c r="E539" i="11"/>
  <c r="E531" i="11"/>
  <c r="E523" i="11"/>
  <c r="E515" i="11"/>
  <c r="E507" i="11"/>
  <c r="E499" i="11"/>
  <c r="E491" i="11"/>
  <c r="E483" i="11"/>
  <c r="E475" i="11"/>
  <c r="E467" i="11"/>
  <c r="E459" i="11"/>
  <c r="E451" i="11"/>
  <c r="E443" i="11"/>
  <c r="E435" i="11"/>
  <c r="E427" i="11"/>
  <c r="E419" i="11"/>
  <c r="E411" i="11"/>
  <c r="E403" i="11"/>
  <c r="E395" i="11"/>
  <c r="E387" i="11"/>
  <c r="E379" i="11"/>
  <c r="E371" i="11"/>
  <c r="E363" i="11"/>
  <c r="E355" i="11"/>
  <c r="E347" i="11"/>
  <c r="E339" i="11"/>
  <c r="E331" i="11"/>
  <c r="E323" i="11"/>
  <c r="E315" i="11"/>
  <c r="E307" i="11"/>
  <c r="E299" i="11"/>
  <c r="E291" i="11"/>
  <c r="E283" i="11"/>
  <c r="E275" i="11"/>
  <c r="E267" i="11"/>
  <c r="E259" i="11"/>
  <c r="E251" i="11"/>
  <c r="E243" i="11"/>
  <c r="E235" i="11"/>
  <c r="E227" i="11"/>
  <c r="E219" i="11"/>
  <c r="E211" i="11"/>
  <c r="E203" i="11"/>
  <c r="E195" i="11"/>
  <c r="E187" i="11"/>
  <c r="E179" i="11"/>
  <c r="E171" i="11"/>
  <c r="E163" i="11"/>
  <c r="E155" i="11"/>
  <c r="E147" i="11"/>
  <c r="E139" i="11"/>
  <c r="E131" i="11"/>
  <c r="E123" i="11"/>
  <c r="D905" i="11"/>
  <c r="D897" i="11"/>
  <c r="D889" i="11"/>
  <c r="D881" i="11"/>
  <c r="D873" i="11"/>
  <c r="D865" i="11"/>
  <c r="D857" i="11"/>
  <c r="D849" i="11"/>
  <c r="D841" i="11"/>
  <c r="D833" i="11"/>
  <c r="D825" i="11"/>
  <c r="D817" i="11"/>
  <c r="D809" i="11"/>
  <c r="D801" i="11"/>
  <c r="D793" i="11"/>
  <c r="D785" i="11"/>
  <c r="D777" i="11"/>
  <c r="D769" i="11"/>
  <c r="D761" i="11"/>
  <c r="D753" i="11"/>
  <c r="D745" i="11"/>
  <c r="D737" i="11"/>
  <c r="D729" i="11"/>
  <c r="D721" i="11"/>
  <c r="D713" i="11"/>
  <c r="D705" i="11"/>
  <c r="D697" i="11"/>
  <c r="D689" i="11"/>
  <c r="D681" i="11"/>
  <c r="D673" i="11"/>
  <c r="D665" i="11"/>
  <c r="D657" i="11"/>
  <c r="D649" i="11"/>
  <c r="D641" i="11"/>
  <c r="D633" i="11"/>
  <c r="D625" i="11"/>
  <c r="D617" i="11"/>
  <c r="D609" i="11"/>
  <c r="D601" i="11"/>
  <c r="D593" i="11"/>
  <c r="D585" i="11"/>
  <c r="D577" i="11"/>
  <c r="D569" i="11"/>
  <c r="D561" i="11"/>
  <c r="D553" i="11"/>
  <c r="D545" i="11"/>
  <c r="D537" i="11"/>
  <c r="D529" i="11"/>
  <c r="D521" i="11"/>
  <c r="D513" i="11"/>
  <c r="D505" i="11"/>
  <c r="D497" i="11"/>
  <c r="D489" i="11"/>
  <c r="D481" i="11"/>
  <c r="D473" i="11"/>
  <c r="D465" i="11"/>
  <c r="D457" i="11"/>
  <c r="D449" i="11"/>
  <c r="D441" i="11"/>
  <c r="D433" i="11"/>
  <c r="D425" i="11"/>
  <c r="D417" i="11"/>
  <c r="D409" i="11"/>
  <c r="D401" i="11"/>
  <c r="D393" i="11"/>
  <c r="D385" i="11"/>
  <c r="D377" i="11"/>
  <c r="D369" i="11"/>
  <c r="D361" i="11"/>
  <c r="D353" i="11"/>
  <c r="D345" i="11"/>
  <c r="D337" i="11"/>
  <c r="D329" i="11"/>
  <c r="D321" i="11"/>
  <c r="D313" i="11"/>
  <c r="D305" i="11"/>
  <c r="D297" i="11"/>
  <c r="D289" i="11"/>
  <c r="D281" i="11"/>
  <c r="D273" i="11"/>
  <c r="D265" i="11"/>
  <c r="D257" i="11"/>
  <c r="D249" i="11"/>
  <c r="D241" i="11"/>
  <c r="D233" i="11"/>
  <c r="D225" i="11"/>
  <c r="D217" i="11"/>
  <c r="D209" i="11"/>
  <c r="D201" i="11"/>
  <c r="D193" i="11"/>
  <c r="D185" i="11"/>
  <c r="D177" i="11"/>
  <c r="D169" i="11"/>
  <c r="D161" i="11"/>
  <c r="D153" i="11"/>
  <c r="D145" i="11"/>
  <c r="D137" i="11"/>
  <c r="D129" i="11"/>
  <c r="D121" i="11"/>
  <c r="D113" i="11"/>
  <c r="D105" i="11"/>
  <c r="D97" i="11"/>
  <c r="D89" i="11"/>
  <c r="D81" i="11"/>
  <c r="D73" i="11"/>
  <c r="D65" i="11"/>
  <c r="D57" i="11"/>
  <c r="D49" i="11"/>
  <c r="D41" i="11"/>
  <c r="D33" i="11"/>
  <c r="D25" i="11"/>
  <c r="D17" i="11"/>
  <c r="D9" i="11"/>
  <c r="E1257" i="11"/>
  <c r="E1249" i="11"/>
  <c r="E1241" i="11"/>
  <c r="E1233" i="11"/>
  <c r="E1225" i="11"/>
  <c r="E1217" i="11"/>
  <c r="E1209" i="11"/>
  <c r="E1201" i="11"/>
  <c r="E1193" i="11"/>
  <c r="E1185" i="11"/>
  <c r="E1177" i="11"/>
  <c r="E1169" i="11"/>
  <c r="E1161" i="11"/>
  <c r="E1153" i="11"/>
  <c r="E1145" i="11"/>
  <c r="E1137" i="11"/>
  <c r="E1129" i="11"/>
  <c r="E1121" i="11"/>
  <c r="E1113" i="11"/>
  <c r="E1105" i="11"/>
  <c r="E1097" i="11"/>
  <c r="E1089" i="11"/>
  <c r="E1081" i="11"/>
  <c r="E721" i="11"/>
  <c r="E361" i="11"/>
  <c r="E352" i="11"/>
  <c r="E344" i="11"/>
  <c r="E336" i="11"/>
  <c r="E328" i="11"/>
  <c r="E320" i="11"/>
  <c r="E312" i="11"/>
  <c r="E304" i="11"/>
  <c r="E296" i="11"/>
  <c r="E288" i="11"/>
  <c r="E280" i="11"/>
  <c r="E272" i="11"/>
  <c r="E264" i="11"/>
  <c r="E256" i="11"/>
  <c r="E248" i="11"/>
  <c r="E240" i="11"/>
  <c r="E232" i="11"/>
  <c r="E224" i="11"/>
  <c r="E216" i="11"/>
  <c r="E208" i="11"/>
  <c r="E200" i="11"/>
  <c r="E192" i="11"/>
  <c r="E184" i="11"/>
  <c r="E176" i="11"/>
  <c r="E168" i="11"/>
  <c r="E160" i="11"/>
  <c r="E152" i="11"/>
  <c r="E144" i="11"/>
  <c r="E136" i="11"/>
  <c r="E128" i="11"/>
  <c r="E120" i="11"/>
  <c r="E112" i="11"/>
  <c r="E104" i="11"/>
  <c r="E96" i="11"/>
  <c r="E88" i="11"/>
  <c r="E80" i="11"/>
  <c r="E72" i="11"/>
  <c r="E64" i="11"/>
  <c r="E56" i="11"/>
  <c r="E48" i="11"/>
  <c r="E40" i="11"/>
  <c r="E32" i="11"/>
  <c r="E24" i="11"/>
  <c r="E16" i="11"/>
  <c r="E1073" i="11"/>
  <c r="E1065" i="11"/>
  <c r="E1057" i="11"/>
  <c r="E1049" i="11"/>
  <c r="E1041" i="11"/>
  <c r="E1033" i="11"/>
  <c r="E1025" i="11"/>
  <c r="E1017" i="11"/>
  <c r="E1009" i="11"/>
  <c r="E1001" i="11"/>
  <c r="E993" i="11"/>
  <c r="E985" i="11"/>
  <c r="E977" i="11"/>
  <c r="E969" i="11"/>
  <c r="E961" i="11"/>
  <c r="E953" i="11"/>
  <c r="E945" i="11"/>
  <c r="E937" i="11"/>
  <c r="E929" i="11"/>
  <c r="E921" i="11"/>
  <c r="E913" i="11"/>
  <c r="E905" i="11"/>
  <c r="E897" i="11"/>
  <c r="E889" i="11"/>
  <c r="E881" i="11"/>
  <c r="E873" i="11"/>
  <c r="E865" i="11"/>
  <c r="E857" i="11"/>
  <c r="E849" i="11"/>
  <c r="E841" i="11"/>
  <c r="E833" i="11"/>
  <c r="E825" i="11"/>
  <c r="E817" i="11"/>
  <c r="E809" i="11"/>
  <c r="E801" i="11"/>
  <c r="E793" i="11"/>
  <c r="E785" i="11"/>
  <c r="E777" i="11"/>
  <c r="E769" i="11"/>
  <c r="E761" i="11"/>
  <c r="E753" i="11"/>
  <c r="E745" i="11"/>
  <c r="E737" i="11"/>
  <c r="E729" i="11"/>
  <c r="E713" i="11"/>
  <c r="E705" i="11"/>
  <c r="E697" i="11"/>
  <c r="E689" i="11"/>
  <c r="E681" i="11"/>
  <c r="E673" i="11"/>
  <c r="E665" i="11"/>
  <c r="E657" i="11"/>
  <c r="E649" i="11"/>
  <c r="E641" i="11"/>
  <c r="E633" i="11"/>
  <c r="E625" i="11"/>
  <c r="E617" i="11"/>
  <c r="E609" i="11"/>
  <c r="E601" i="11"/>
  <c r="E593" i="11"/>
  <c r="E585" i="11"/>
  <c r="E577" i="11"/>
  <c r="E569" i="11"/>
  <c r="E561" i="11"/>
  <c r="E553" i="11"/>
  <c r="E545" i="11"/>
  <c r="E537" i="11"/>
  <c r="E529" i="11"/>
  <c r="E521" i="11"/>
  <c r="E513" i="11"/>
  <c r="E505" i="11"/>
  <c r="E497" i="11"/>
  <c r="E489" i="11"/>
  <c r="E481" i="11"/>
  <c r="E473" i="11"/>
  <c r="E465" i="11"/>
  <c r="E457" i="11"/>
  <c r="E449" i="11"/>
  <c r="E441" i="11"/>
  <c r="E433" i="11"/>
  <c r="E425" i="11"/>
  <c r="E417" i="11"/>
  <c r="E409" i="11"/>
  <c r="E401" i="11"/>
  <c r="E393" i="11"/>
  <c r="E385" i="11"/>
  <c r="E377" i="11"/>
  <c r="E369" i="11"/>
  <c r="E353" i="11"/>
  <c r="E345" i="11"/>
  <c r="E337" i="11"/>
  <c r="E329" i="11"/>
  <c r="E321" i="11"/>
  <c r="E313" i="11"/>
  <c r="E305" i="11"/>
  <c r="E297" i="11"/>
  <c r="E289" i="11"/>
  <c r="E281" i="11"/>
  <c r="E273" i="11"/>
  <c r="E265" i="11"/>
  <c r="E257" i="11"/>
  <c r="E249" i="11"/>
  <c r="E241" i="11"/>
  <c r="E233" i="11"/>
  <c r="E225" i="11"/>
  <c r="E217" i="11"/>
  <c r="E209" i="11"/>
  <c r="E201" i="11"/>
  <c r="E193" i="11"/>
  <c r="E185" i="11"/>
  <c r="E177" i="11"/>
  <c r="E169" i="11"/>
  <c r="E161" i="11"/>
  <c r="E153" i="11"/>
  <c r="E145" i="11"/>
  <c r="E137" i="11"/>
  <c r="E129" i="11"/>
  <c r="E121" i="11"/>
  <c r="E113" i="11"/>
  <c r="E105" i="11"/>
  <c r="E97" i="11"/>
  <c r="E89" i="11"/>
  <c r="E81" i="11"/>
  <c r="E73" i="11"/>
  <c r="E65" i="11"/>
  <c r="E57" i="11"/>
  <c r="E49" i="11"/>
  <c r="E41" i="11"/>
  <c r="E33" i="11"/>
  <c r="E25" i="11"/>
  <c r="E17" i="11"/>
  <c r="E9" i="11"/>
  <c r="E106" i="11"/>
  <c r="E98" i="11"/>
  <c r="E90" i="11"/>
  <c r="E82" i="11"/>
  <c r="E74" i="11"/>
  <c r="E66" i="11"/>
  <c r="E58" i="11"/>
  <c r="E50" i="11"/>
  <c r="E42" i="11"/>
  <c r="E34" i="11"/>
  <c r="E26" i="11"/>
  <c r="E18" i="11"/>
  <c r="E10" i="11"/>
  <c r="I5" i="11" l="1"/>
  <c r="I6" i="11"/>
  <c r="I3" i="11"/>
  <c r="I4" i="11"/>
  <c r="H10" i="11"/>
  <c r="H18" i="11" s="1"/>
  <c r="H8" i="11"/>
  <c r="H17" i="11" s="1"/>
  <c r="H6" i="11"/>
  <c r="H5" i="11"/>
  <c r="H12" i="11"/>
  <c r="H19" i="11" s="1"/>
  <c r="H11" i="11"/>
  <c r="H4" i="11"/>
  <c r="H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7894E7-54D4-4D47-88AC-8BD116B49161}" keepAlive="1" name="Query - GC_F_2020-12-22_to_2025-12-22_daily" description="Connection to the 'GC_F_2020-12-22_to_2025-12-22_daily' query in the workbook." type="5" refreshedVersion="0" background="1">
    <dbPr connection="Provider=Microsoft.Mashup.OleDb.1;Data Source=$Workbook$;Location=GC_F_2020-12-22_to_2025-12-22_daily;Extended Properties=&quot;&quot;" command="SELECT * FROM [GC_F_2020-12-22_to_2025-12-22_daily]"/>
  </connection>
  <connection id="2" xr16:uid="{9AFFD253-B16D-495E-90FC-D95A881BBFF0}" keepAlive="1" name="Query - USDCHF_X_2020-12-22_to_2025-12-22_daily" description="Connection to the 'USDCHF_X_2020-12-22_to_2025-12-22_daily' query in the workbook." type="5" refreshedVersion="0" background="1">
    <dbPr connection="Provider=Microsoft.Mashup.OleDb.1;Data Source=$Workbook$;Location=USDCHF_X_2020-12-22_to_2025-12-22_daily;Extended Properties=&quot;&quot;" command="SELECT * FROM [USDCHF_X_2020-12-22_to_2025-12-22_daily]"/>
  </connection>
</connections>
</file>

<file path=xl/sharedStrings.xml><?xml version="1.0" encoding="utf-8"?>
<sst xmlns="http://schemas.openxmlformats.org/spreadsheetml/2006/main" count="2599" uniqueCount="2423">
  <si>
    <t>Date</t>
  </si>
  <si>
    <t>1866.5999755859375</t>
  </si>
  <si>
    <t>1861.0</t>
  </si>
  <si>
    <t>1874.699951171875</t>
  </si>
  <si>
    <t>1867.0</t>
  </si>
  <si>
    <t>1879.9000244140625</t>
  </si>
  <si>
    <t>1877.199951171875</t>
  </si>
  <si>
    <t>1895.5</t>
  </si>
  <si>
    <t>1879.699951171875</t>
  </si>
  <si>
    <t>1881.300048828125</t>
  </si>
  <si>
    <t>1891.0</t>
  </si>
  <si>
    <t>1893.0999755859375</t>
  </si>
  <si>
    <t>1901.300048828125</t>
  </si>
  <si>
    <t>1944.699951171875</t>
  </si>
  <si>
    <t>1952.699951171875</t>
  </si>
  <si>
    <t>1906.9000244140625</t>
  </si>
  <si>
    <t>1912.300048828125</t>
  </si>
  <si>
    <t>1912.0</t>
  </si>
  <si>
    <t>1834.0999755859375</t>
  </si>
  <si>
    <t>1908.0</t>
  </si>
  <si>
    <t>1849.5999755859375</t>
  </si>
  <si>
    <t>1826.5</t>
  </si>
  <si>
    <t>1842.9000244140625</t>
  </si>
  <si>
    <t>1853.5999755859375</t>
  </si>
  <si>
    <t>1850.300048828125</t>
  </si>
  <si>
    <t>1850.699951171875</t>
  </si>
  <si>
    <t>1829.300048828125</t>
  </si>
  <si>
    <t>1839.5</t>
  </si>
  <si>
    <t>1865.9000244140625</t>
  </si>
  <si>
    <t>1847.800048828125</t>
  </si>
  <si>
    <t>1865.300048828125</t>
  </si>
  <si>
    <t>1868.0</t>
  </si>
  <si>
    <t>1855.699951171875</t>
  </si>
  <si>
    <t>1852.699951171875</t>
  </si>
  <si>
    <t>1854.9000244140625</t>
  </si>
  <si>
    <t>1844.9000244140625</t>
  </si>
  <si>
    <t>1837.9000244140625</t>
  </si>
  <si>
    <t>1862.9000244140625</t>
  </si>
  <si>
    <t>1847.300048828125</t>
  </si>
  <si>
    <t>1842.0</t>
  </si>
  <si>
    <t>1860.800048828125</t>
  </si>
  <si>
    <t>1830.5</t>
  </si>
  <si>
    <t>1832.199951171875</t>
  </si>
  <si>
    <t>1834.800048828125</t>
  </si>
  <si>
    <t>1788.9000244140625</t>
  </si>
  <si>
    <t>1810.9000244140625</t>
  </si>
  <si>
    <t>1813.5</t>
  </si>
  <si>
    <t>1831.9000244140625</t>
  </si>
  <si>
    <t>1809.0</t>
  </si>
  <si>
    <t>1835.300048828125</t>
  </si>
  <si>
    <t>1843.300048828125</t>
  </si>
  <si>
    <t>1840.5999755859375</t>
  </si>
  <si>
    <t>1824.9000244140625</t>
  </si>
  <si>
    <t>1820.9000244140625</t>
  </si>
  <si>
    <t>1821.5999755859375</t>
  </si>
  <si>
    <t>1827.5</t>
  </si>
  <si>
    <t>1809.199951171875</t>
  </si>
  <si>
    <t>1797.199951171875</t>
  </si>
  <si>
    <t>1771.0999755859375</t>
  </si>
  <si>
    <t>1789.699951171875</t>
  </si>
  <si>
    <t>1773.4000244140625</t>
  </si>
  <si>
    <t>1766.0</t>
  </si>
  <si>
    <t>1775.800048828125</t>
  </si>
  <si>
    <t>1806.699951171875</t>
  </si>
  <si>
    <t>1804.4000244140625</t>
  </si>
  <si>
    <t>1796.4000244140625</t>
  </si>
  <si>
    <t>1774.4000244140625</t>
  </si>
  <si>
    <t>1801.5</t>
  </si>
  <si>
    <t>1728.0999755859375</t>
  </si>
  <si>
    <t>1768.0999755859375</t>
  </si>
  <si>
    <t>1722.5</t>
  </si>
  <si>
    <t>1733.0999755859375</t>
  </si>
  <si>
    <t>1715.300048828125</t>
  </si>
  <si>
    <t>1730.0</t>
  </si>
  <si>
    <t>1700.199951171875</t>
  </si>
  <si>
    <t>1698.0</t>
  </si>
  <si>
    <t>1677.699951171875</t>
  </si>
  <si>
    <t>1716.5999755859375</t>
  </si>
  <si>
    <t>1721.5</t>
  </si>
  <si>
    <t>1722.300048828125</t>
  </si>
  <si>
    <t>1719.5</t>
  </si>
  <si>
    <t>1728.9000244140625</t>
  </si>
  <si>
    <t>1730.5999755859375</t>
  </si>
  <si>
    <t>1726.800048828125</t>
  </si>
  <si>
    <t>1732.199951171875</t>
  </si>
  <si>
    <t>1750.300048828125</t>
  </si>
  <si>
    <t>1741.4000244140625</t>
  </si>
  <si>
    <t>1737.800048828125</t>
  </si>
  <si>
    <t>1724.699951171875</t>
  </si>
  <si>
    <t>1732.9000244140625</t>
  </si>
  <si>
    <t>1724.9000244140625</t>
  </si>
  <si>
    <t>1712.0999755859375</t>
  </si>
  <si>
    <t>1683.9000244140625</t>
  </si>
  <si>
    <t>1676.5</t>
  </si>
  <si>
    <t>1713.800048828125</t>
  </si>
  <si>
    <t>1726.5</t>
  </si>
  <si>
    <t>1728.800048828125</t>
  </si>
  <si>
    <t>1727.0</t>
  </si>
  <si>
    <t>1741.5</t>
  </si>
  <si>
    <t>1740.0999755859375</t>
  </si>
  <si>
    <t>1756.800048828125</t>
  </si>
  <si>
    <t>1758.0</t>
  </si>
  <si>
    <t>1743.300048828125</t>
  </si>
  <si>
    <t>1731.199951171875</t>
  </si>
  <si>
    <t>1746.199951171875</t>
  </si>
  <si>
    <t>1734.9000244140625</t>
  </si>
  <si>
    <t>1765.4000244140625</t>
  </si>
  <si>
    <t>1767.9000244140625</t>
  </si>
  <si>
    <t>1779.0</t>
  </si>
  <si>
    <t>1770.4000244140625</t>
  </si>
  <si>
    <t>1769.4000244140625</t>
  </si>
  <si>
    <t>1788.5</t>
  </si>
  <si>
    <t>1777.300048828125</t>
  </si>
  <si>
    <t>1769.300048828125</t>
  </si>
  <si>
    <t>1792.300048828125</t>
  </si>
  <si>
    <t>1783.0</t>
  </si>
  <si>
    <t>1781.199951171875</t>
  </si>
  <si>
    <t>1777.0</t>
  </si>
  <si>
    <t>1779.199951171875</t>
  </si>
  <si>
    <t>1770.800048828125</t>
  </si>
  <si>
    <t>1778.0</t>
  </si>
  <si>
    <t>1782.0</t>
  </si>
  <si>
    <t>1773.199951171875</t>
  </si>
  <si>
    <t>1781.0</t>
  </si>
  <si>
    <t>1767.300048828125</t>
  </si>
  <si>
    <t>1791.4000244140625</t>
  </si>
  <si>
    <t>1793.0</t>
  </si>
  <si>
    <t>1788.199951171875</t>
  </si>
  <si>
    <t>1784.0999755859375</t>
  </si>
  <si>
    <t>1815.5</t>
  </si>
  <si>
    <t>1831.0999755859375</t>
  </si>
  <si>
    <t>1837.5</t>
  </si>
  <si>
    <t>1835.5999755859375</t>
  </si>
  <si>
    <t>1835.9000244140625</t>
  </si>
  <si>
    <t>1822.5999755859375</t>
  </si>
  <si>
    <t>1823.800048828125</t>
  </si>
  <si>
    <t>1867.5</t>
  </si>
  <si>
    <t>1867.800048828125</t>
  </si>
  <si>
    <t>1881.800048828125</t>
  </si>
  <si>
    <t>1876.699951171875</t>
  </si>
  <si>
    <t>1884.5999755859375</t>
  </si>
  <si>
    <t>1898.0999755859375</t>
  </si>
  <si>
    <t>1895.699951171875</t>
  </si>
  <si>
    <t>1896.800048828125</t>
  </si>
  <si>
    <t>1902.5</t>
  </si>
  <si>
    <t>1902.9000244140625</t>
  </si>
  <si>
    <t>1907.5</t>
  </si>
  <si>
    <t>1871.199951171875</t>
  </si>
  <si>
    <t>1889.800048828125</t>
  </si>
  <si>
    <t>1854.0</t>
  </si>
  <si>
    <t>1869.300048828125</t>
  </si>
  <si>
    <t>1892.199951171875</t>
  </si>
  <si>
    <t>1893.199951171875</t>
  </si>
  <si>
    <t>1894.199951171875</t>
  </si>
  <si>
    <t>1871.5</t>
  </si>
  <si>
    <t>1877.4000244140625</t>
  </si>
  <si>
    <t>1864.0</t>
  </si>
  <si>
    <t>1866.199951171875</t>
  </si>
  <si>
    <t>1854.5</t>
  </si>
  <si>
    <t>1859.5</t>
  </si>
  <si>
    <t>1773.800048828125</t>
  </si>
  <si>
    <t>1792.4000244140625</t>
  </si>
  <si>
    <t>1781.800048828125</t>
  </si>
  <si>
    <t>1776.300048828125</t>
  </si>
  <si>
    <t>1786.9000244140625</t>
  </si>
  <si>
    <t>1775.9000244140625</t>
  </si>
  <si>
    <t>1783.4000244140625</t>
  </si>
  <si>
    <t>1782.300048828125</t>
  </si>
  <si>
    <t>1775.5999755859375</t>
  </si>
  <si>
    <t>1776.5999755859375</t>
  </si>
  <si>
    <t>1775.199951171875</t>
  </si>
  <si>
    <t>1779.5999755859375</t>
  </si>
  <si>
    <t>1762.800048828125</t>
  </si>
  <si>
    <t>1782.5999755859375</t>
  </si>
  <si>
    <t>1787.9000244140625</t>
  </si>
  <si>
    <t>1793.5</t>
  </si>
  <si>
    <t>1798.699951171875</t>
  </si>
  <si>
    <t>1799.5999755859375</t>
  </si>
  <si>
    <t>1818.5</t>
  </si>
  <si>
    <t>1797.0</t>
  </si>
  <si>
    <t>1810.0</t>
  </si>
  <si>
    <t>1810.0999755859375</t>
  </si>
  <si>
    <t>1805.5</t>
  </si>
  <si>
    <t>1799.5</t>
  </si>
  <si>
    <t>1809.4000244140625</t>
  </si>
  <si>
    <t>1808.0999755859375</t>
  </si>
  <si>
    <t>1824.300048828125</t>
  </si>
  <si>
    <t>1813.0999755859375</t>
  </si>
  <si>
    <t>1828.4000244140625</t>
  </si>
  <si>
    <t>1833.0</t>
  </si>
  <si>
    <t>1814.5</t>
  </si>
  <si>
    <t>1808.699951171875</t>
  </si>
  <si>
    <t>1802.9000244140625</t>
  </si>
  <si>
    <t>1805.0</t>
  </si>
  <si>
    <t>1801.4000244140625</t>
  </si>
  <si>
    <t>1831.199951171875</t>
  </si>
  <si>
    <t>1806.5999755859375</t>
  </si>
  <si>
    <t>1812.5999755859375</t>
  </si>
  <si>
    <t>1828.0</t>
  </si>
  <si>
    <t>1818.0999755859375</t>
  </si>
  <si>
    <t>1806.0</t>
  </si>
  <si>
    <t>1812.300048828125</t>
  </si>
  <si>
    <t>1810.5</t>
  </si>
  <si>
    <t>1805.0999755859375</t>
  </si>
  <si>
    <t>1813.699951171875</t>
  </si>
  <si>
    <t>1760.0</t>
  </si>
  <si>
    <t>1723.4000244140625</t>
  </si>
  <si>
    <t>1750.4000244140625</t>
  </si>
  <si>
    <t>1749.0</t>
  </si>
  <si>
    <t>1749.699951171875</t>
  </si>
  <si>
    <t>1758.300048828125</t>
  </si>
  <si>
    <t>1785.0</t>
  </si>
  <si>
    <t>1787.699951171875</t>
  </si>
  <si>
    <t>1781.5999755859375</t>
  </si>
  <si>
    <t>1780.199951171875</t>
  </si>
  <si>
    <t>1803.199951171875</t>
  </si>
  <si>
    <t>1805.5999755859375</t>
  </si>
  <si>
    <t>1792.0</t>
  </si>
  <si>
    <t>1792.199951171875</t>
  </si>
  <si>
    <t>1816.5999755859375</t>
  </si>
  <si>
    <t>1818.199951171875</t>
  </si>
  <si>
    <t>1815.0</t>
  </si>
  <si>
    <t>1815.9000244140625</t>
  </si>
  <si>
    <t>1801.0999755859375</t>
  </si>
  <si>
    <t>1809.5</t>
  </si>
  <si>
    <t>1813.9000244140625</t>
  </si>
  <si>
    <t>1830.9000244140625</t>
  </si>
  <si>
    <t>1795.9000244140625</t>
  </si>
  <si>
    <t>1825.699951171875</t>
  </si>
  <si>
    <t>1792.699951171875</t>
  </si>
  <si>
    <t>1790.699951171875</t>
  </si>
  <si>
    <t>1797.4000244140625</t>
  </si>
  <si>
    <t>1789.5999755859375</t>
  </si>
  <si>
    <t>1804.699951171875</t>
  </si>
  <si>
    <t>1754.5999755859375</t>
  </si>
  <si>
    <t>1749.4000244140625</t>
  </si>
  <si>
    <t>1761.800048828125</t>
  </si>
  <si>
    <t>1776.0</t>
  </si>
  <si>
    <t>1776.699951171875</t>
  </si>
  <si>
    <t>1747.699951171875</t>
  </si>
  <si>
    <t>1750.0</t>
  </si>
  <si>
    <t>1735.800048828125</t>
  </si>
  <si>
    <t>1755.300048828125</t>
  </si>
  <si>
    <t>1760.300048828125</t>
  </si>
  <si>
    <t>1757.0</t>
  </si>
  <si>
    <t>1762.5999755859375</t>
  </si>
  <si>
    <t>1766.199951171875</t>
  </si>
  <si>
    <t>1759.5999755859375</t>
  </si>
  <si>
    <t>1760.5</t>
  </si>
  <si>
    <t>1762.9000244140625</t>
  </si>
  <si>
    <t>1757.9000244140625</t>
  </si>
  <si>
    <t>1756.300048828125</t>
  </si>
  <si>
    <t>1751.9000244140625</t>
  </si>
  <si>
    <t>1793.699951171875</t>
  </si>
  <si>
    <t>1760.800048828125</t>
  </si>
  <si>
    <t>1796.699951171875</t>
  </si>
  <si>
    <t>1767.199951171875</t>
  </si>
  <si>
    <t>1764.800048828125</t>
  </si>
  <si>
    <t>1769.699951171875</t>
  </si>
  <si>
    <t>1774.5999755859375</t>
  </si>
  <si>
    <t>1795.5</t>
  </si>
  <si>
    <t>1794.0</t>
  </si>
  <si>
    <t>1808.800048828125</t>
  </si>
  <si>
    <t>1797.9000244140625</t>
  </si>
  <si>
    <t>1798.0999755859375</t>
  </si>
  <si>
    <t>1801.5999755859375</t>
  </si>
  <si>
    <t>1795.0999755859375</t>
  </si>
  <si>
    <t>1788.699951171875</t>
  </si>
  <si>
    <t>1763.5999755859375</t>
  </si>
  <si>
    <t>1816.4000244140625</t>
  </si>
  <si>
    <t>1827.4000244140625</t>
  </si>
  <si>
    <t>1817.0</t>
  </si>
  <si>
    <t>1830.199951171875</t>
  </si>
  <si>
    <t>1847.5999755859375</t>
  </si>
  <si>
    <t>1863.199951171875</t>
  </si>
  <si>
    <t>1866.5</t>
  </si>
  <si>
    <t>1867.9000244140625</t>
  </si>
  <si>
    <t>1866.0999755859375</t>
  </si>
  <si>
    <t>1869.699951171875</t>
  </si>
  <si>
    <t>1851.199951171875</t>
  </si>
  <si>
    <t>1783.5</t>
  </si>
  <si>
    <t>1781.4000244140625</t>
  </si>
  <si>
    <t>1785.300048828125</t>
  </si>
  <si>
    <t>1798.9000244140625</t>
  </si>
  <si>
    <t>1773.5999755859375</t>
  </si>
  <si>
    <t>1760.699951171875</t>
  </si>
  <si>
    <t>1777.5</t>
  </si>
  <si>
    <t>1777.199951171875</t>
  </si>
  <si>
    <t>1782.9000244140625</t>
  </si>
  <si>
    <t>1786.300048828125</t>
  </si>
  <si>
    <t>1787.0</t>
  </si>
  <si>
    <t>1769.0</t>
  </si>
  <si>
    <t>1767.4000244140625</t>
  </si>
  <si>
    <t>1796.5999755859375</t>
  </si>
  <si>
    <t>1803.800048828125</t>
  </si>
  <si>
    <t>1785.5</t>
  </si>
  <si>
    <t>1811.199951171875</t>
  </si>
  <si>
    <t>1810.199951171875</t>
  </si>
  <si>
    <t>1818.0</t>
  </si>
  <si>
    <t>1812.699951171875</t>
  </si>
  <si>
    <t>1799.4000244140625</t>
  </si>
  <si>
    <t>1814.0</t>
  </si>
  <si>
    <t>1815.300048828125</t>
  </si>
  <si>
    <t>1824.5999755859375</t>
  </si>
  <si>
    <t>1798.4000244140625</t>
  </si>
  <si>
    <t>1818.5999755859375</t>
  </si>
  <si>
    <t>1803.0</t>
  </si>
  <si>
    <t>1827.199951171875</t>
  </si>
  <si>
    <t>1821.199951171875</t>
  </si>
  <si>
    <t>1816.5</t>
  </si>
  <si>
    <t>1843.0999755859375</t>
  </si>
  <si>
    <t>1842.5</t>
  </si>
  <si>
    <t>1831.800048828125</t>
  </si>
  <si>
    <t>1828.9000244140625</t>
  </si>
  <si>
    <t>1841.699951171875</t>
  </si>
  <si>
    <t>1829.9000244140625</t>
  </si>
  <si>
    <t>1793.300048828125</t>
  </si>
  <si>
    <t>1784.9000244140625</t>
  </si>
  <si>
    <t>1795.0</t>
  </si>
  <si>
    <t>1800.300048828125</t>
  </si>
  <si>
    <t>1820.5999755859375</t>
  </si>
  <si>
    <t>1826.5999755859375</t>
  </si>
  <si>
    <t>1835.199951171875</t>
  </si>
  <si>
    <t>1836.199951171875</t>
  </si>
  <si>
    <t>1840.800048828125</t>
  </si>
  <si>
    <t>1861.800048828125</t>
  </si>
  <si>
    <t>1854.800048828125</t>
  </si>
  <si>
    <t>1847.4000244140625</t>
  </si>
  <si>
    <t>1870.199951171875</t>
  </si>
  <si>
    <t>1900.699951171875</t>
  </si>
  <si>
    <t>1898.5999755859375</t>
  </si>
  <si>
    <t>1899.4000244140625</t>
  </si>
  <si>
    <t>1906.0999755859375</t>
  </si>
  <si>
    <t>1909.199951171875</t>
  </si>
  <si>
    <t>1910.5999755859375</t>
  </si>
  <si>
    <t>1925.0999755859375</t>
  </si>
  <si>
    <t>1911.699951171875</t>
  </si>
  <si>
    <t>1886.5</t>
  </si>
  <si>
    <t>1942.4000244140625</t>
  </si>
  <si>
    <t>1920.9000244140625</t>
  </si>
  <si>
    <t>1945.5999755859375</t>
  </si>
  <si>
    <t>1934.4000244140625</t>
  </si>
  <si>
    <t>1965.0999755859375</t>
  </si>
  <si>
    <t>1970.9000244140625</t>
  </si>
  <si>
    <t>1993.9000244140625</t>
  </si>
  <si>
    <t>2040.0999755859375</t>
  </si>
  <si>
    <t>1985.9000244140625</t>
  </si>
  <si>
    <t>1998.0999755859375</t>
  </si>
  <si>
    <t>1982.699951171875</t>
  </si>
  <si>
    <t>1959.5999755859375</t>
  </si>
  <si>
    <t>1977.699951171875</t>
  </si>
  <si>
    <t>1928.5</t>
  </si>
  <si>
    <t>1939.800048828125</t>
  </si>
  <si>
    <t>1907.199951171875</t>
  </si>
  <si>
    <t>1942.0999755859375</t>
  </si>
  <si>
    <t>1933.9000244140625</t>
  </si>
  <si>
    <t>1928.199951171875</t>
  </si>
  <si>
    <t>1928.5999755859375</t>
  </si>
  <si>
    <t>1925.0</t>
  </si>
  <si>
    <t>1925.4000244140625</t>
  </si>
  <si>
    <t>1920.699951171875</t>
  </si>
  <si>
    <t>1936.5999755859375</t>
  </si>
  <si>
    <t>1961.5999755859375</t>
  </si>
  <si>
    <t>1963.5999755859375</t>
  </si>
  <si>
    <t>1953.800048828125</t>
  </si>
  <si>
    <t>1939.5999755859375</t>
  </si>
  <si>
    <t>1932.5999755859375</t>
  </si>
  <si>
    <t>1933.5</t>
  </si>
  <si>
    <t>1918.4000244140625</t>
  </si>
  <si>
    <t>1949.199951171875</t>
  </si>
  <si>
    <t>1919.0999755859375</t>
  </si>
  <si>
    <t>1938.0</t>
  </si>
  <si>
    <t>1929.199951171875</t>
  </si>
  <si>
    <t>1922.9000244140625</t>
  </si>
  <si>
    <t>1927.0999755859375</t>
  </si>
  <si>
    <t>1933.800048828125</t>
  </si>
  <si>
    <t>1941.5999755859375</t>
  </si>
  <si>
    <t>1944.300048828125</t>
  </si>
  <si>
    <t>1968.4000244140625</t>
  </si>
  <si>
    <t>1972.0999755859375</t>
  </si>
  <si>
    <t>1981.0</t>
  </si>
  <si>
    <t>1978.699951171875</t>
  </si>
  <si>
    <t>1977.199951171875</t>
  </si>
  <si>
    <t>1982.9000244140625</t>
  </si>
  <si>
    <t>1955.699951171875</t>
  </si>
  <si>
    <t>1952.300048828125</t>
  </si>
  <si>
    <t>1945.5</t>
  </si>
  <si>
    <t>1944.9000244140625</t>
  </si>
  <si>
    <t>1931.0</t>
  </si>
  <si>
    <t>1901.4000244140625</t>
  </si>
  <si>
    <t>1909.0999755859375</t>
  </si>
  <si>
    <t>1885.9000244140625</t>
  </si>
  <si>
    <t>1888.699951171875</t>
  </si>
  <si>
    <t>1909.300048828125</t>
  </si>
  <si>
    <t>1918.199951171875</t>
  </si>
  <si>
    <t>1868.800048828125</t>
  </si>
  <si>
    <t>1874.0</t>
  </si>
  <si>
    <t>1881.199951171875</t>
  </si>
  <si>
    <t>1857.0999755859375</t>
  </si>
  <si>
    <t>1839.9000244140625</t>
  </si>
  <si>
    <t>1852.5999755859375</t>
  </si>
  <si>
    <t>1851.9000244140625</t>
  </si>
  <si>
    <t>1807.4000244140625</t>
  </si>
  <si>
    <t>1819.699951171875</t>
  </si>
  <si>
    <t>1841.199951171875</t>
  </si>
  <si>
    <t>1841.800048828125</t>
  </si>
  <si>
    <t>1865.0999755859375</t>
  </si>
  <si>
    <t>1846.199951171875</t>
  </si>
  <si>
    <t>1840.4000244140625</t>
  </si>
  <si>
    <t>1851.300048828125</t>
  </si>
  <si>
    <t>1842.699951171875</t>
  </si>
  <si>
    <t>1847.9000244140625</t>
  </si>
  <si>
    <t>1845.4000244140625</t>
  </si>
  <si>
    <t>1839.199951171875</t>
  </si>
  <si>
    <t>1847.5</t>
  </si>
  <si>
    <t>1848.800048828125</t>
  </si>
  <si>
    <t>1845.699951171875</t>
  </si>
  <si>
    <t>1834.5999755859375</t>
  </si>
  <si>
    <t>1834.300048828125</t>
  </si>
  <si>
    <t>1817.5</t>
  </si>
  <si>
    <t>1804.0999755859375</t>
  </si>
  <si>
    <t>1734.0</t>
  </si>
  <si>
    <t>1737.9000244140625</t>
  </si>
  <si>
    <t>1740.5999755859375</t>
  </si>
  <si>
    <t>1723.300048828125</t>
  </si>
  <si>
    <t>1734.199951171875</t>
  </si>
  <si>
    <t>1710.0</t>
  </si>
  <si>
    <t>1704.5</t>
  </si>
  <si>
    <t>1702.4000244140625</t>
  </si>
  <si>
    <t>1709.199951171875</t>
  </si>
  <si>
    <t>1699.5</t>
  </si>
  <si>
    <t>1712.699951171875</t>
  </si>
  <si>
    <t>1727.0999755859375</t>
  </si>
  <si>
    <t>1719.0</t>
  </si>
  <si>
    <t>1717.699951171875</t>
  </si>
  <si>
    <t>1719.0999755859375</t>
  </si>
  <si>
    <t>1772.9000244140625</t>
  </si>
  <si>
    <t>1786.800048828125</t>
  </si>
  <si>
    <t>1790.0</t>
  </si>
  <si>
    <t>1795.5999755859375</t>
  </si>
  <si>
    <t>1798.5999755859375</t>
  </si>
  <si>
    <t>1747.5999755859375</t>
  </si>
  <si>
    <t>1746.800048828125</t>
  </si>
  <si>
    <t>1747.800048828125</t>
  </si>
  <si>
    <t>1757.699951171875</t>
  </si>
  <si>
    <t>1736.0999755859375</t>
  </si>
  <si>
    <t>1736.5999755859375</t>
  </si>
  <si>
    <t>1723.199951171875</t>
  </si>
  <si>
    <t>1712.800048828125</t>
  </si>
  <si>
    <t>1696.5999755859375</t>
  </si>
  <si>
    <t>1709.800048828125</t>
  </si>
  <si>
    <t>1700.4000244140625</t>
  </si>
  <si>
    <t>1708.0</t>
  </si>
  <si>
    <t>1716.199951171875</t>
  </si>
  <si>
    <t>1705.0</t>
  </si>
  <si>
    <t>1696.5</t>
  </si>
  <si>
    <t>1665.4000244140625</t>
  </si>
  <si>
    <t>1671.699951171875</t>
  </si>
  <si>
    <t>1660.4000244140625</t>
  </si>
  <si>
    <t>1666.199951171875</t>
  </si>
  <si>
    <t>1658.5</t>
  </si>
  <si>
    <t>1659.699951171875</t>
  </si>
  <si>
    <t>1664.5999755859375</t>
  </si>
  <si>
    <t>1670.800048828125</t>
  </si>
  <si>
    <t>1645.300048828125</t>
  </si>
  <si>
    <t>1623.300048828125</t>
  </si>
  <si>
    <t>1626.699951171875</t>
  </si>
  <si>
    <t>1657.0</t>
  </si>
  <si>
    <t>1662.4000244140625</t>
  </si>
  <si>
    <t>1692.9000244140625</t>
  </si>
  <si>
    <t>1721.0999755859375</t>
  </si>
  <si>
    <t>1711.4000244140625</t>
  </si>
  <si>
    <t>1711.699951171875</t>
  </si>
  <si>
    <t>1700.5</t>
  </si>
  <si>
    <t>1710.0999755859375</t>
  </si>
  <si>
    <t>1667.300048828125</t>
  </si>
  <si>
    <t>1678.699951171875</t>
  </si>
  <si>
    <t>1670.300048828125</t>
  </si>
  <si>
    <t>1670.0</t>
  </si>
  <si>
    <t>1641.699951171875</t>
  </si>
  <si>
    <t>1649.0</t>
  </si>
  <si>
    <t>1627.5</t>
  </si>
  <si>
    <t>1630.800048828125</t>
  </si>
  <si>
    <t>1651.0</t>
  </si>
  <si>
    <t>1648.699951171875</t>
  </si>
  <si>
    <t>1652.800048828125</t>
  </si>
  <si>
    <t>1664.0</t>
  </si>
  <si>
    <t>1660.699951171875</t>
  </si>
  <si>
    <t>1639.5999755859375</t>
  </si>
  <si>
    <t>1635.9000244140625</t>
  </si>
  <si>
    <t>1645.0</t>
  </si>
  <si>
    <t>1645.699951171875</t>
  </si>
  <si>
    <t>1627.300048828125</t>
  </si>
  <si>
    <t>1672.5</t>
  </si>
  <si>
    <t>1773.0</t>
  </si>
  <si>
    <t>1737.4000244140625</t>
  </si>
  <si>
    <t>1744.9000244140625</t>
  </si>
  <si>
    <t>1738.300048828125</t>
  </si>
  <si>
    <t>1753.300048828125</t>
  </si>
  <si>
    <t>1748.4000244140625</t>
  </si>
  <si>
    <t>1746.0</t>
  </si>
  <si>
    <t>1780.5</t>
  </si>
  <si>
    <t>1807.5</t>
  </si>
  <si>
    <t>1814.800048828125</t>
  </si>
  <si>
    <t>1807.9000244140625</t>
  </si>
  <si>
    <t>1819.5</t>
  </si>
  <si>
    <t>1839.699951171875</t>
  </si>
  <si>
    <t>1852.800048828125</t>
  </si>
  <si>
    <t>1864.199951171875</t>
  </si>
  <si>
    <t>1872.699951171875</t>
  </si>
  <si>
    <t>1871.5999755859375</t>
  </si>
  <si>
    <t>1874.5999755859375</t>
  </si>
  <si>
    <t>1904.4000244140625</t>
  </si>
  <si>
    <t>1911.0999755859375</t>
  </si>
  <si>
    <t>1922.0999755859375</t>
  </si>
  <si>
    <t>1926.4000244140625</t>
  </si>
  <si>
    <t>1941.199951171875</t>
  </si>
  <si>
    <t>1929.0999755859375</t>
  </si>
  <si>
    <t>1929.5</t>
  </si>
  <si>
    <t>1927.800048828125</t>
  </si>
  <si>
    <t>1916.300048828125</t>
  </si>
  <si>
    <t>1911.300048828125</t>
  </si>
  <si>
    <t>1871.699951171875</t>
  </si>
  <si>
    <t>1862.800048828125</t>
  </si>
  <si>
    <t>1862.0</t>
  </si>
  <si>
    <t>1834.199951171875</t>
  </si>
  <si>
    <t>1832.0</t>
  </si>
  <si>
    <t>1830.0</t>
  </si>
  <si>
    <t>1837.699951171875</t>
  </si>
  <si>
    <t>1833.5</t>
  </si>
  <si>
    <t>1847.699951171875</t>
  </si>
  <si>
    <t>1906.199951171875</t>
  </si>
  <si>
    <t>1926.5999755859375</t>
  </si>
  <si>
    <t>1919.0</t>
  </si>
  <si>
    <t>1969.800048828125</t>
  </si>
  <si>
    <t>1979.199951171875</t>
  </si>
  <si>
    <t>1968.9000244140625</t>
  </si>
  <si>
    <t>1946.800048828125</t>
  </si>
  <si>
    <t>1993.800048828125</t>
  </si>
  <si>
    <t>1982.0999755859375</t>
  </si>
  <si>
    <t>1952.4000244140625</t>
  </si>
  <si>
    <t>1972.4000244140625</t>
  </si>
  <si>
    <t>1966.0999755859375</t>
  </si>
  <si>
    <t>1980.300048828125</t>
  </si>
  <si>
    <t>1969.0</t>
  </si>
  <si>
    <t>1983.9000244140625</t>
  </si>
  <si>
    <t>2022.199951171875</t>
  </si>
  <si>
    <t>2020.9000244140625</t>
  </si>
  <si>
    <t>2011.9000244140625</t>
  </si>
  <si>
    <t>2023.300048828125</t>
  </si>
  <si>
    <t>1989.0999755859375</t>
  </si>
  <si>
    <t>2004.800048828125</t>
  </si>
  <si>
    <t>1991.4000244140625</t>
  </si>
  <si>
    <t>2010.9000244140625</t>
  </si>
  <si>
    <t>2025.699951171875</t>
  </si>
  <si>
    <t>2041.300048828125</t>
  </si>
  <si>
    <t>2002.199951171875</t>
  </si>
  <si>
    <t>1994.199951171875</t>
  </si>
  <si>
    <t>2007.5999755859375</t>
  </si>
  <si>
    <t>2007.4000244140625</t>
  </si>
  <si>
    <t>1995.199951171875</t>
  </si>
  <si>
    <t>1979.5</t>
  </si>
  <si>
    <t>1996.199951171875</t>
  </si>
  <si>
    <t>1994.0</t>
  </si>
  <si>
    <t>1982.300048828125</t>
  </si>
  <si>
    <t>1985.699951171875</t>
  </si>
  <si>
    <t>1985.5999755859375</t>
  </si>
  <si>
    <t>1989.9000244140625</t>
  </si>
  <si>
    <t>1990.0999755859375</t>
  </si>
  <si>
    <t>1983.4000244140625</t>
  </si>
  <si>
    <t>2014.300048828125</t>
  </si>
  <si>
    <t>2018.0</t>
  </si>
  <si>
    <t>2028.5999755859375</t>
  </si>
  <si>
    <t>2048.0</t>
  </si>
  <si>
    <t>2017.4000244140625</t>
  </si>
  <si>
    <t>2026.300048828125</t>
  </si>
  <si>
    <t>2036.199951171875</t>
  </si>
  <si>
    <t>2026.5999755859375</t>
  </si>
  <si>
    <t>2030.5</t>
  </si>
  <si>
    <t>2014.699951171875</t>
  </si>
  <si>
    <t>2014.5</t>
  </si>
  <si>
    <t>1988.4000244140625</t>
  </si>
  <si>
    <t>1980.699951171875</t>
  </si>
  <si>
    <t>1956.5</t>
  </si>
  <si>
    <t>1974.800048828125</t>
  </si>
  <si>
    <t>1962.800048828125</t>
  </si>
  <si>
    <t>1943.0999755859375</t>
  </si>
  <si>
    <t>1944.0999755859375</t>
  </si>
  <si>
    <t>1958.0</t>
  </si>
  <si>
    <t>1942.699951171875</t>
  </si>
  <si>
    <t>1963.9000244140625</t>
  </si>
  <si>
    <t>1978.0</t>
  </si>
  <si>
    <t>1982.5</t>
  </si>
  <si>
    <t>1965.5</t>
  </si>
  <si>
    <t>1940.699951171875</t>
  </si>
  <si>
    <t>1962.199951171875</t>
  </si>
  <si>
    <t>1960.300048828125</t>
  </si>
  <si>
    <t>1955.300048828125</t>
  </si>
  <si>
    <t>1944.5999755859375</t>
  </si>
  <si>
    <t>1957.800048828125</t>
  </si>
  <si>
    <t>1958.4000244140625</t>
  </si>
  <si>
    <t>1935.5</t>
  </si>
  <si>
    <t>1931.300048828125</t>
  </si>
  <si>
    <t>1933.300048828125</t>
  </si>
  <si>
    <t>1912.699951171875</t>
  </si>
  <si>
    <t>1923.699951171875</t>
  </si>
  <si>
    <t>1914.0</t>
  </si>
  <si>
    <t>1921.0999755859375</t>
  </si>
  <si>
    <t>1921.699951171875</t>
  </si>
  <si>
    <t>1917.9000244140625</t>
  </si>
  <si>
    <t>1919.5999755859375</t>
  </si>
  <si>
    <t>1908.699951171875</t>
  </si>
  <si>
    <t>1926.199951171875</t>
  </si>
  <si>
    <t>1956.199951171875</t>
  </si>
  <si>
    <t>1959.199951171875</t>
  </si>
  <si>
    <t>1960.0999755859375</t>
  </si>
  <si>
    <t>1977.5</t>
  </si>
  <si>
    <t>1968.300048828125</t>
  </si>
  <si>
    <t>1964.300048828125</t>
  </si>
  <si>
    <t>1961.800048828125</t>
  </si>
  <si>
    <t>1962.0999755859375</t>
  </si>
  <si>
    <t>1945.4000244140625</t>
  </si>
  <si>
    <t>1960.4000244140625</t>
  </si>
  <si>
    <t>1970.5</t>
  </si>
  <si>
    <t>1937.4000244140625</t>
  </si>
  <si>
    <t>1932.0</t>
  </si>
  <si>
    <t>1936.5</t>
  </si>
  <si>
    <t>1924.0999755859375</t>
  </si>
  <si>
    <t>1915.4000244140625</t>
  </si>
  <si>
    <t>1914.4000244140625</t>
  </si>
  <si>
    <t>1912.9000244140625</t>
  </si>
  <si>
    <t>1916.5999755859375</t>
  </si>
  <si>
    <t>1896.0999755859375</t>
  </si>
  <si>
    <t>1884.0999755859375</t>
  </si>
  <si>
    <t>1886.0999755859375</t>
  </si>
  <si>
    <t>1893.300048828125</t>
  </si>
  <si>
    <t>1896.4000244140625</t>
  </si>
  <si>
    <t>1918.5</t>
  </si>
  <si>
    <t>1938.199951171875</t>
  </si>
  <si>
    <t>1918.0999755859375</t>
  </si>
  <si>
    <t>1917.5</t>
  </si>
  <si>
    <t>1923.300048828125</t>
  </si>
  <si>
    <t>1910.0</t>
  </si>
  <si>
    <t>1931.5</t>
  </si>
  <si>
    <t>1919.199951171875</t>
  </si>
  <si>
    <t>1900.4000244140625</t>
  </si>
  <si>
    <t>1860.4000244140625</t>
  </si>
  <si>
    <t>1848.0999755859375</t>
  </si>
  <si>
    <t>1849.5</t>
  </si>
  <si>
    <t>1872.800048828125</t>
  </si>
  <si>
    <t>1927.4000244140625</t>
  </si>
  <si>
    <t>1922.699951171875</t>
  </si>
  <si>
    <t>1988.5999755859375</t>
  </si>
  <si>
    <t>1976.300048828125</t>
  </si>
  <si>
    <t>1975.0</t>
  </si>
  <si>
    <t>1984.0999755859375</t>
  </si>
  <si>
    <t>1987.199951171875</t>
  </si>
  <si>
    <t>1985.199951171875</t>
  </si>
  <si>
    <t>1978.800048828125</t>
  </si>
  <si>
    <t>1977.800048828125</t>
  </si>
  <si>
    <t>1990.300048828125</t>
  </si>
  <si>
    <t>1991.5</t>
  </si>
  <si>
    <t>1981.5999755859375</t>
  </si>
  <si>
    <t>1966.800048828125</t>
  </si>
  <si>
    <t>1951.5</t>
  </si>
  <si>
    <t>1964.199951171875</t>
  </si>
  <si>
    <t>1999.300048828125</t>
  </si>
  <si>
    <t>2011.800048828125</t>
  </si>
  <si>
    <t>2039.699951171875</t>
  </si>
  <si>
    <t>2047.0999755859375</t>
  </si>
  <si>
    <t>2038.0999755859375</t>
  </si>
  <si>
    <t>2071.0</t>
  </si>
  <si>
    <t>2024.0999755859375</t>
  </si>
  <si>
    <t>2018.5</t>
  </si>
  <si>
    <t>2029.9000244140625</t>
  </si>
  <si>
    <t>1998.300048828125</t>
  </si>
  <si>
    <t>2030.199951171875</t>
  </si>
  <si>
    <t>2021.0999755859375</t>
  </si>
  <si>
    <t>2038.4000244140625</t>
  </si>
  <si>
    <t>2025.199951171875</t>
  </si>
  <si>
    <t>2034.5</t>
  </si>
  <si>
    <t>2039.0999755859375</t>
  </si>
  <si>
    <t>2033.0</t>
  </si>
  <si>
    <t>2057.10009765625</t>
  </si>
  <si>
    <t>2058.199951171875</t>
  </si>
  <si>
    <t>2081.89990234375</t>
  </si>
  <si>
    <t>2073.89990234375</t>
  </si>
  <si>
    <t>2062.39990234375</t>
  </si>
  <si>
    <t>2064.39990234375</t>
  </si>
  <si>
    <t>2034.199951171875</t>
  </si>
  <si>
    <t>2042.300048828125</t>
  </si>
  <si>
    <t>2042.4000244140625</t>
  </si>
  <si>
    <t>2026.4000244140625</t>
  </si>
  <si>
    <t>2021.699951171875</t>
  </si>
  <si>
    <t>2046.699951171875</t>
  </si>
  <si>
    <t>2026.0</t>
  </si>
  <si>
    <t>2002.5999755859375</t>
  </si>
  <si>
    <t>2026.5</t>
  </si>
  <si>
    <t>2018.5999755859375</t>
  </si>
  <si>
    <t>2019.800048828125</t>
  </si>
  <si>
    <t>2023.699951171875</t>
  </si>
  <si>
    <t>2013.9000244140625</t>
  </si>
  <si>
    <t>2016.9000244140625</t>
  </si>
  <si>
    <t>2016.800048828125</t>
  </si>
  <si>
    <t>2031.5</t>
  </si>
  <si>
    <t>2048.39990234375</t>
  </si>
  <si>
    <t>2053.0</t>
  </si>
  <si>
    <t>2036.0999755859375</t>
  </si>
  <si>
    <t>2035.199951171875</t>
  </si>
  <si>
    <t>2032.199951171875</t>
  </si>
  <si>
    <t>2018.199951171875</t>
  </si>
  <si>
    <t>1992.9000244140625</t>
  </si>
  <si>
    <t>2002.0999755859375</t>
  </si>
  <si>
    <t>2011.5</t>
  </si>
  <si>
    <t>2027.5</t>
  </si>
  <si>
    <t>2022.300048828125</t>
  </si>
  <si>
    <t>2019.699951171875</t>
  </si>
  <si>
    <t>2038.5999755859375</t>
  </si>
  <si>
    <t>2028.5</t>
  </si>
  <si>
    <t>2034.0</t>
  </si>
  <si>
    <t>2045.699951171875</t>
  </si>
  <si>
    <t>2086.89990234375</t>
  </si>
  <si>
    <t>2117.699951171875</t>
  </si>
  <si>
    <t>2133.5</t>
  </si>
  <si>
    <t>2150.300048828125</t>
  </si>
  <si>
    <t>2158.0</t>
  </si>
  <si>
    <t>2163.0</t>
  </si>
  <si>
    <t>2178.60009765625</t>
  </si>
  <si>
    <t>2182.5</t>
  </si>
  <si>
    <t>2160.39990234375</t>
  </si>
  <si>
    <t>2175.39990234375</t>
  </si>
  <si>
    <t>2157.300048828125</t>
  </si>
  <si>
    <t>2160.699951171875</t>
  </si>
  <si>
    <t>2156.300048828125</t>
  </si>
  <si>
    <t>2157.89990234375</t>
  </si>
  <si>
    <t>2182.39990234375</t>
  </si>
  <si>
    <t>2158.10009765625</t>
  </si>
  <si>
    <t>2174.800048828125</t>
  </si>
  <si>
    <t>2175.60009765625</t>
  </si>
  <si>
    <t>2190.60009765625</t>
  </si>
  <si>
    <t>2217.39990234375</t>
  </si>
  <si>
    <t>2236.5</t>
  </si>
  <si>
    <t>2261.0</t>
  </si>
  <si>
    <t>2294.39990234375</t>
  </si>
  <si>
    <t>2288.800048828125</t>
  </si>
  <si>
    <t>2325.699951171875</t>
  </si>
  <si>
    <t>2331.699951171875</t>
  </si>
  <si>
    <t>2343.5</t>
  </si>
  <si>
    <t>2329.60009765625</t>
  </si>
  <si>
    <t>2327.699951171875</t>
  </si>
  <si>
    <t>2346.60009765625</t>
  </si>
  <si>
    <t>2354.800048828125</t>
  </si>
  <si>
    <t>2356.199951171875</t>
  </si>
  <si>
    <t>2377.300048828125</t>
  </si>
  <si>
    <t>2365.800048828125</t>
  </si>
  <si>
    <t>2390.800048828125</t>
  </si>
  <si>
    <t>2371.699951171875</t>
  </si>
  <si>
    <t>2382.300048828125</t>
  </si>
  <si>
    <t>2398.39990234375</t>
  </si>
  <si>
    <t>2332.199951171875</t>
  </si>
  <si>
    <t>2324.5</t>
  </si>
  <si>
    <t>2329.800048828125</t>
  </si>
  <si>
    <t>2334.800048828125</t>
  </si>
  <si>
    <t>2345.39990234375</t>
  </si>
  <si>
    <t>2291.39990234375</t>
  </si>
  <si>
    <t>2299.89990234375</t>
  </si>
  <si>
    <t>2299.199951171875</t>
  </si>
  <si>
    <t>2299.0</t>
  </si>
  <si>
    <t>2321.60009765625</t>
  </si>
  <si>
    <t>2325.5</t>
  </si>
  <si>
    <t>2315.199951171875</t>
  </si>
  <si>
    <t>2313.60009765625</t>
  </si>
  <si>
    <t>2332.10009765625</t>
  </si>
  <si>
    <t>2367.300048828125</t>
  </si>
  <si>
    <t>2336.10009765625</t>
  </si>
  <si>
    <t>2353.39990234375</t>
  </si>
  <si>
    <t>2336.0</t>
  </si>
  <si>
    <t>2388.699951171875</t>
  </si>
  <si>
    <t>2380.0</t>
  </si>
  <si>
    <t>2412.199951171875</t>
  </si>
  <si>
    <t>2433.89990234375</t>
  </si>
  <si>
    <t>2421.699951171875</t>
  </si>
  <si>
    <t>2389.199951171875</t>
  </si>
  <si>
    <t>2335.0</t>
  </si>
  <si>
    <t>2332.5</t>
  </si>
  <si>
    <t>2355.199951171875</t>
  </si>
  <si>
    <t>2340.300048828125</t>
  </si>
  <si>
    <t>2342.89990234375</t>
  </si>
  <si>
    <t>2322.89990234375</t>
  </si>
  <si>
    <t>2354.10009765625</t>
  </si>
  <si>
    <t>2370.300048828125</t>
  </si>
  <si>
    <t>2305.199951171875</t>
  </si>
  <si>
    <t>2307.699951171875</t>
  </si>
  <si>
    <t>2307.5</t>
  </si>
  <si>
    <t>2300.199951171875</t>
  </si>
  <si>
    <t>2331.39990234375</t>
  </si>
  <si>
    <t>2312.39990234375</t>
  </si>
  <si>
    <t>2330.39990234375</t>
  </si>
  <si>
    <t>2353.800048828125</t>
  </si>
  <si>
    <t>2316.39990234375</t>
  </si>
  <si>
    <t>2330.0</t>
  </si>
  <si>
    <t>2316.60009765625</t>
  </si>
  <si>
    <t>2327.60009765625</t>
  </si>
  <si>
    <t>2323.0</t>
  </si>
  <si>
    <t>2359.800048828125</t>
  </si>
  <si>
    <t>2388.5</t>
  </si>
  <si>
    <t>2360.10009765625</t>
  </si>
  <si>
    <t>2372.199951171875</t>
  </si>
  <si>
    <t>2415.0</t>
  </si>
  <si>
    <t>2414.0</t>
  </si>
  <si>
    <t>2422.89990234375</t>
  </si>
  <si>
    <t>2462.39990234375</t>
  </si>
  <si>
    <t>2454.800048828125</t>
  </si>
  <si>
    <t>2451.800048828125</t>
  </si>
  <si>
    <t>2395.5</t>
  </si>
  <si>
    <t>2392.0</t>
  </si>
  <si>
    <t>2404.60009765625</t>
  </si>
  <si>
    <t>2413.300048828125</t>
  </si>
  <si>
    <t>2351.89990234375</t>
  </si>
  <si>
    <t>2405.0</t>
  </si>
  <si>
    <t>2426.5</t>
  </si>
  <si>
    <t>2435.0</t>
  </si>
  <si>
    <t>2425.699951171875</t>
  </si>
  <si>
    <t>2401.699951171875</t>
  </si>
  <si>
    <t>2389.10009765625</t>
  </si>
  <si>
    <t>2390.5</t>
  </si>
  <si>
    <t>2422.199951171875</t>
  </si>
  <si>
    <t>2432.10009765625</t>
  </si>
  <si>
    <t>2466.699951171875</t>
  </si>
  <si>
    <t>2439.39990234375</t>
  </si>
  <si>
    <t>2453.10009765625</t>
  </si>
  <si>
    <t>2498.60009765625</t>
  </si>
  <si>
    <t>2501.800048828125</t>
  </si>
  <si>
    <t>2511.300048828125</t>
  </si>
  <si>
    <t>2508.39990234375</t>
  </si>
  <si>
    <t>2478.89990234375</t>
  </si>
  <si>
    <t>2517.699951171875</t>
  </si>
  <si>
    <t>2516.0</t>
  </si>
  <si>
    <t>2501.0</t>
  </si>
  <si>
    <t>2525.699951171875</t>
  </si>
  <si>
    <t>2493.800048828125</t>
  </si>
  <si>
    <t>2489.89990234375</t>
  </si>
  <si>
    <t>2493.39990234375</t>
  </si>
  <si>
    <t>2511.39990234375</t>
  </si>
  <si>
    <t>2493.5</t>
  </si>
  <si>
    <t>2512.300048828125</t>
  </si>
  <si>
    <t>2512.10009765625</t>
  </si>
  <si>
    <t>2551.199951171875</t>
  </si>
  <si>
    <t>2581.300048828125</t>
  </si>
  <si>
    <t>2580.39990234375</t>
  </si>
  <si>
    <t>2564.300048828125</t>
  </si>
  <si>
    <t>2570.699951171875</t>
  </si>
  <si>
    <t>2588.0</t>
  </si>
  <si>
    <t>2619.89990234375</t>
  </si>
  <si>
    <t>2626.5</t>
  </si>
  <si>
    <t>2651.199951171875</t>
  </si>
  <si>
    <t>2659.199951171875</t>
  </si>
  <si>
    <t>2669.89990234375</t>
  </si>
  <si>
    <t>2644.300048828125</t>
  </si>
  <si>
    <t>2672.10009765625</t>
  </si>
  <si>
    <t>2636.10009765625</t>
  </si>
  <si>
    <t>2667.300048828125</t>
  </si>
  <si>
    <t>2647.10009765625</t>
  </si>
  <si>
    <t>2657.10009765625</t>
  </si>
  <si>
    <t>2645.800048828125</t>
  </si>
  <si>
    <t>2656.0</t>
  </si>
  <si>
    <t>2644.800048828125</t>
  </si>
  <si>
    <t>2615.0</t>
  </si>
  <si>
    <t>2606.0</t>
  </si>
  <si>
    <t>2620.60009765625</t>
  </si>
  <si>
    <t>2657.60009765625</t>
  </si>
  <si>
    <t>2647.800048828125</t>
  </si>
  <si>
    <t>2661.39990234375</t>
  </si>
  <si>
    <t>2674.0</t>
  </si>
  <si>
    <t>2691.0</t>
  </si>
  <si>
    <t>2713.699951171875</t>
  </si>
  <si>
    <t>2723.10009765625</t>
  </si>
  <si>
    <t>2744.199951171875</t>
  </si>
  <si>
    <t>2714.39990234375</t>
  </si>
  <si>
    <t>2734.89990234375</t>
  </si>
  <si>
    <t>2736.10009765625</t>
  </si>
  <si>
    <t>2740.89990234375</t>
  </si>
  <si>
    <t>2742.89990234375</t>
  </si>
  <si>
    <t>2768.39990234375</t>
  </si>
  <si>
    <t>2788.5</t>
  </si>
  <si>
    <t>2738.300048828125</t>
  </si>
  <si>
    <t>2738.60009765625</t>
  </si>
  <si>
    <t>2740.300048828125</t>
  </si>
  <si>
    <t>2667.60009765625</t>
  </si>
  <si>
    <t>2698.39990234375</t>
  </si>
  <si>
    <t>2687.5</t>
  </si>
  <si>
    <t>2611.199951171875</t>
  </si>
  <si>
    <t>2600.0</t>
  </si>
  <si>
    <t>2580.800048828125</t>
  </si>
  <si>
    <t>2568.199951171875</t>
  </si>
  <si>
    <t>2565.699951171875</t>
  </si>
  <si>
    <t>2610.60009765625</t>
  </si>
  <si>
    <t>2627.10009765625</t>
  </si>
  <si>
    <t>2648.199951171875</t>
  </si>
  <si>
    <t>2709.89990234375</t>
  </si>
  <si>
    <t>2616.800048828125</t>
  </si>
  <si>
    <t>2620.300048828125</t>
  </si>
  <si>
    <t>2639.89990234375</t>
  </si>
  <si>
    <t>2657.0</t>
  </si>
  <si>
    <t>2634.89990234375</t>
  </si>
  <si>
    <t>2644.699951171875</t>
  </si>
  <si>
    <t>2653.800048828125</t>
  </si>
  <si>
    <t>2626.60009765625</t>
  </si>
  <si>
    <t>2638.60009765625</t>
  </si>
  <si>
    <t>2664.89990234375</t>
  </si>
  <si>
    <t>2697.60009765625</t>
  </si>
  <si>
    <t>2733.800048828125</t>
  </si>
  <si>
    <t>2651.39990234375</t>
  </si>
  <si>
    <t>2644.39990234375</t>
  </si>
  <si>
    <t>2636.5</t>
  </si>
  <si>
    <t>2592.199951171875</t>
  </si>
  <si>
    <t>2628.699951171875</t>
  </si>
  <si>
    <t>2612.300048828125</t>
  </si>
  <si>
    <t>2620.0</t>
  </si>
  <si>
    <t>2638.800048828125</t>
  </si>
  <si>
    <t>2617.199951171875</t>
  </si>
  <si>
    <t>2606.10009765625</t>
  </si>
  <si>
    <t>2629.199951171875</t>
  </si>
  <si>
    <t>2658.89990234375</t>
  </si>
  <si>
    <t>2645.0</t>
  </si>
  <si>
    <t>2638.39990234375</t>
  </si>
  <si>
    <t>2656.699951171875</t>
  </si>
  <si>
    <t>2664.5</t>
  </si>
  <si>
    <t>2683.800048828125</t>
  </si>
  <si>
    <t>2708.5</t>
  </si>
  <si>
    <t>2673.5</t>
  </si>
  <si>
    <t>2677.5</t>
  </si>
  <si>
    <t>2712.5</t>
  </si>
  <si>
    <t>2746.39990234375</t>
  </si>
  <si>
    <t>2744.300048828125</t>
  </si>
  <si>
    <t>2755.0</t>
  </si>
  <si>
    <t>2767.60009765625</t>
  </si>
  <si>
    <t>2763.10009765625</t>
  </si>
  <si>
    <t>2777.300048828125</t>
  </si>
  <si>
    <t>2737.5</t>
  </si>
  <si>
    <t>2766.800048828125</t>
  </si>
  <si>
    <t>2769.10009765625</t>
  </si>
  <si>
    <t>2823.0</t>
  </si>
  <si>
    <t>2812.5</t>
  </si>
  <si>
    <t>2833.89990234375</t>
  </si>
  <si>
    <t>2853.300048828125</t>
  </si>
  <si>
    <t>2871.60009765625</t>
  </si>
  <si>
    <t>2856.0</t>
  </si>
  <si>
    <t>2867.300048828125</t>
  </si>
  <si>
    <t>2914.300048828125</t>
  </si>
  <si>
    <t>2912.5</t>
  </si>
  <si>
    <t>2909.0</t>
  </si>
  <si>
    <t>2925.89990234375</t>
  </si>
  <si>
    <t>2883.60009765625</t>
  </si>
  <si>
    <t>2931.60009765625</t>
  </si>
  <si>
    <t>2919.39990234375</t>
  </si>
  <si>
    <t>2940.0</t>
  </si>
  <si>
    <t>2937.60009765625</t>
  </si>
  <si>
    <t>2947.89990234375</t>
  </si>
  <si>
    <t>2904.5</t>
  </si>
  <si>
    <t>2916.800048828125</t>
  </si>
  <si>
    <t>2883.199951171875</t>
  </si>
  <si>
    <t>2836.800048828125</t>
  </si>
  <si>
    <t>2890.199951171875</t>
  </si>
  <si>
    <t>2909.60009765625</t>
  </si>
  <si>
    <t>2915.300048828125</t>
  </si>
  <si>
    <t>2916.60009765625</t>
  </si>
  <si>
    <t>2904.699951171875</t>
  </si>
  <si>
    <t>2891.0</t>
  </si>
  <si>
    <t>2912.89990234375</t>
  </si>
  <si>
    <t>2939.10009765625</t>
  </si>
  <si>
    <t>2984.300048828125</t>
  </si>
  <si>
    <t>2994.5</t>
  </si>
  <si>
    <t>3000.0</t>
  </si>
  <si>
    <t>3035.10009765625</t>
  </si>
  <si>
    <t>3035.89990234375</t>
  </si>
  <si>
    <t>3040.0</t>
  </si>
  <si>
    <t>3018.199951171875</t>
  </si>
  <si>
    <t>3013.10009765625</t>
  </si>
  <si>
    <t>3023.699951171875</t>
  </si>
  <si>
    <t>3020.89990234375</t>
  </si>
  <si>
    <t>3060.199951171875</t>
  </si>
  <si>
    <t>3086.5</t>
  </si>
  <si>
    <t>3122.800048828125</t>
  </si>
  <si>
    <t>3118.89990234375</t>
  </si>
  <si>
    <t>3139.89990234375</t>
  </si>
  <si>
    <t>3097.0</t>
  </si>
  <si>
    <t>3012.0</t>
  </si>
  <si>
    <t>2951.300048828125</t>
  </si>
  <si>
    <t>2968.39990234375</t>
  </si>
  <si>
    <t>3056.5</t>
  </si>
  <si>
    <t>3155.199951171875</t>
  </si>
  <si>
    <t>3222.199951171875</t>
  </si>
  <si>
    <t>3204.800048828125</t>
  </si>
  <si>
    <t>3218.699951171875</t>
  </si>
  <si>
    <t>3326.60009765625</t>
  </si>
  <si>
    <t>3308.699951171875</t>
  </si>
  <si>
    <t>3406.199951171875</t>
  </si>
  <si>
    <t>3400.800048828125</t>
  </si>
  <si>
    <t>3276.300048828125</t>
  </si>
  <si>
    <t>3332.0</t>
  </si>
  <si>
    <t>3282.39990234375</t>
  </si>
  <si>
    <t>3332.5</t>
  </si>
  <si>
    <t>3318.800048828125</t>
  </si>
  <si>
    <t>3305.0</t>
  </si>
  <si>
    <t>3210.0</t>
  </si>
  <si>
    <t>3231.89990234375</t>
  </si>
  <si>
    <t>3311.300048828125</t>
  </si>
  <si>
    <t>3411.39990234375</t>
  </si>
  <si>
    <t>3381.39990234375</t>
  </si>
  <si>
    <t>3296.60009765625</t>
  </si>
  <si>
    <t>3335.39990234375</t>
  </si>
  <si>
    <t>3220.0</t>
  </si>
  <si>
    <t>3240.300048828125</t>
  </si>
  <si>
    <t>3181.39990234375</t>
  </si>
  <si>
    <t>3220.699951171875</t>
  </si>
  <si>
    <t>3182.0</t>
  </si>
  <si>
    <t>3228.89990234375</t>
  </si>
  <si>
    <t>3280.300048828125</t>
  </si>
  <si>
    <t>3293.199951171875</t>
  </si>
  <si>
    <t>3309.300048828125</t>
  </si>
  <si>
    <t>3292.300048828125</t>
  </si>
  <si>
    <t>3363.60009765625</t>
  </si>
  <si>
    <t>3299.10009765625</t>
  </si>
  <si>
    <t>3293.60009765625</t>
  </si>
  <si>
    <t>3317.10009765625</t>
  </si>
  <si>
    <t>3288.89990234375</t>
  </si>
  <si>
    <t>3370.60009765625</t>
  </si>
  <si>
    <t>3350.199951171875</t>
  </si>
  <si>
    <t>3373.5</t>
  </si>
  <si>
    <t>3380.0</t>
  </si>
  <si>
    <t>3350.699951171875</t>
  </si>
  <si>
    <t>3322.699951171875</t>
  </si>
  <si>
    <t>3332.10009765625</t>
  </si>
  <si>
    <t>3320.89990234375</t>
  </si>
  <si>
    <t>3321.300048828125</t>
  </si>
  <si>
    <t>3356.0</t>
  </si>
  <si>
    <t>3380.89990234375</t>
  </si>
  <si>
    <t>3431.199951171875</t>
  </si>
  <si>
    <t>3396.39990234375</t>
  </si>
  <si>
    <t>3386.60009765625</t>
  </si>
  <si>
    <t>3389.800048828125</t>
  </si>
  <si>
    <t>3368.10009765625</t>
  </si>
  <si>
    <t>3377.699951171875</t>
  </si>
  <si>
    <t>3317.39990234375</t>
  </si>
  <si>
    <t>3327.10009765625</t>
  </si>
  <si>
    <t>3333.5</t>
  </si>
  <si>
    <t>3273.699951171875</t>
  </si>
  <si>
    <t>3294.39990234375</t>
  </si>
  <si>
    <t>3336.699951171875</t>
  </si>
  <si>
    <t>3348.0</t>
  </si>
  <si>
    <t>3331.60009765625</t>
  </si>
  <si>
    <t>3332.199951171875</t>
  </si>
  <si>
    <t>3307.0</t>
  </si>
  <si>
    <t>3311.60009765625</t>
  </si>
  <si>
    <t>3351.5</t>
  </si>
  <si>
    <t>3329.800048828125</t>
  </si>
  <si>
    <t>3352.5</t>
  </si>
  <si>
    <t>3340.10009765625</t>
  </si>
  <si>
    <t>3353.0</t>
  </si>
  <si>
    <t>3401.89990234375</t>
  </si>
  <si>
    <t>3439.199951171875</t>
  </si>
  <si>
    <t>3394.10009765625</t>
  </si>
  <si>
    <t>3371.0</t>
  </si>
  <si>
    <t>3334.0</t>
  </si>
  <si>
    <t>3309.10009765625</t>
  </si>
  <si>
    <t>3323.39990234375</t>
  </si>
  <si>
    <t>3295.800048828125</t>
  </si>
  <si>
    <t>3347.699951171875</t>
  </si>
  <si>
    <t>3374.39990234375</t>
  </si>
  <si>
    <t>3381.89990234375</t>
  </si>
  <si>
    <t>3400.300048828125</t>
  </si>
  <si>
    <t>3439.10009765625</t>
  </si>
  <si>
    <t>3353.10009765625</t>
  </si>
  <si>
    <t>3348.89990234375</t>
  </si>
  <si>
    <t>3358.699951171875</t>
  </si>
  <si>
    <t>3335.199951171875</t>
  </si>
  <si>
    <t>3336.0</t>
  </si>
  <si>
    <t>3331.699951171875</t>
  </si>
  <si>
    <t>3313.39990234375</t>
  </si>
  <si>
    <t>3343.39990234375</t>
  </si>
  <si>
    <t>3336.89990234375</t>
  </si>
  <si>
    <t>3373.800048828125</t>
  </si>
  <si>
    <t>3388.60009765625</t>
  </si>
  <si>
    <t>3404.60009765625</t>
  </si>
  <si>
    <t>3431.800048828125</t>
  </si>
  <si>
    <t>3473.699951171875</t>
  </si>
  <si>
    <t>3549.39990234375</t>
  </si>
  <si>
    <t>3593.199951171875</t>
  </si>
  <si>
    <t>3565.800048828125</t>
  </si>
  <si>
    <t>3613.199951171875</t>
  </si>
  <si>
    <t>3638.10009765625</t>
  </si>
  <si>
    <t>3643.300048828125</t>
  </si>
  <si>
    <t>3643.60009765625</t>
  </si>
  <si>
    <t>3636.89990234375</t>
  </si>
  <si>
    <t>3649.39990234375</t>
  </si>
  <si>
    <t>3682.199951171875</t>
  </si>
  <si>
    <t>3688.89990234375</t>
  </si>
  <si>
    <t>3681.800048828125</t>
  </si>
  <si>
    <t>3643.699951171875</t>
  </si>
  <si>
    <t>3671.5</t>
  </si>
  <si>
    <t>3740.699951171875</t>
  </si>
  <si>
    <t>3780.60009765625</t>
  </si>
  <si>
    <t>3732.10009765625</t>
  </si>
  <si>
    <t>3736.89990234375</t>
  </si>
  <si>
    <t>3775.300048828125</t>
  </si>
  <si>
    <t>3820.89990234375</t>
  </si>
  <si>
    <t>3840.800048828125</t>
  </si>
  <si>
    <t>3867.5</t>
  </si>
  <si>
    <t>3839.699951171875</t>
  </si>
  <si>
    <t>3880.800048828125</t>
  </si>
  <si>
    <t>3948.5</t>
  </si>
  <si>
    <t>3976.60009765625</t>
  </si>
  <si>
    <t>4043.300048828125</t>
  </si>
  <si>
    <t>3946.300048828125</t>
  </si>
  <si>
    <t>3975.89990234375</t>
  </si>
  <si>
    <t>4108.60009765625</t>
  </si>
  <si>
    <t>4138.7001953125</t>
  </si>
  <si>
    <t>4176.89990234375</t>
  </si>
  <si>
    <t>4280.2001953125</t>
  </si>
  <si>
    <t>4189.89990234375</t>
  </si>
  <si>
    <t>4336.39990234375</t>
  </si>
  <si>
    <t>4087.699951171875</t>
  </si>
  <si>
    <t>4044.39990234375</t>
  </si>
  <si>
    <t>4125.5</t>
  </si>
  <si>
    <t>4118.39990234375</t>
  </si>
  <si>
    <t>4001.89990234375</t>
  </si>
  <si>
    <t>3966.199951171875</t>
  </si>
  <si>
    <t>3983.699951171875</t>
  </si>
  <si>
    <t>4001.300048828125</t>
  </si>
  <si>
    <t>3982.199951171875</t>
  </si>
  <si>
    <t>4000.300048828125</t>
  </si>
  <si>
    <t>3947.699951171875</t>
  </si>
  <si>
    <t>3980.300048828125</t>
  </si>
  <si>
    <t>3979.89990234375</t>
  </si>
  <si>
    <t>3999.39990234375</t>
  </si>
  <si>
    <t>4111.7998046875</t>
  </si>
  <si>
    <t>4106.7998046875</t>
  </si>
  <si>
    <t>4204.39990234375</t>
  </si>
  <si>
    <t>4186.89990234375</t>
  </si>
  <si>
    <t>4087.60009765625</t>
  </si>
  <si>
    <t>4068.300048828125</t>
  </si>
  <si>
    <t>4061.300048828125</t>
  </si>
  <si>
    <t>4077.699951171875</t>
  </si>
  <si>
    <t>4056.5</t>
  </si>
  <si>
    <t>4076.699951171875</t>
  </si>
  <si>
    <t>4091.89990234375</t>
  </si>
  <si>
    <t>4139.2001953125</t>
  </si>
  <si>
    <t>4165.2001953125</t>
  </si>
  <si>
    <t>4218.2998046875</t>
  </si>
  <si>
    <t>4239.2998046875</t>
  </si>
  <si>
    <t>4186.60009765625</t>
  </si>
  <si>
    <t>4199.2998046875</t>
  </si>
  <si>
    <t>4211.7998046875</t>
  </si>
  <si>
    <t>4212.89990234375</t>
  </si>
  <si>
    <t>4187.2001953125</t>
  </si>
  <si>
    <t>4206.7001953125</t>
  </si>
  <si>
    <t>4196.39990234375</t>
  </si>
  <si>
    <t>4285.5</t>
  </si>
  <si>
    <t>4300.10009765625</t>
  </si>
  <si>
    <t>4306.7001953125</t>
  </si>
  <si>
    <t>4304.5</t>
  </si>
  <si>
    <t>4347.5</t>
  </si>
  <si>
    <t>4339.5</t>
  </si>
  <si>
    <t>4361.39990234375</t>
  </si>
  <si>
    <t>4444.60009765625</t>
  </si>
  <si>
    <t>0.8854799866676331</t>
  </si>
  <si>
    <t>0.8878600001335144</t>
  </si>
  <si>
    <t>0.8909000158309937</t>
  </si>
  <si>
    <t>0.8878999948501587</t>
  </si>
  <si>
    <t>0.8866999745368958</t>
  </si>
  <si>
    <t>0.8851000070571899</t>
  </si>
  <si>
    <t>0.8894299864768982</t>
  </si>
  <si>
    <t>0.8883000016212463</t>
  </si>
  <si>
    <t>0.8841000199317932</t>
  </si>
  <si>
    <t>0.8815799951553345</t>
  </si>
  <si>
    <t>0.8981000185012817</t>
  </si>
  <si>
    <t>0.8984000086784363</t>
  </si>
  <si>
    <t>0.8830999732017517</t>
  </si>
  <si>
    <t>0.8812400102615356</t>
  </si>
  <si>
    <t>0.8812500238418579</t>
  </si>
  <si>
    <t>0.8781800270080566</t>
  </si>
  <si>
    <t>0.8780699968338013</t>
  </si>
  <si>
    <t>0.8781099915504456</t>
  </si>
  <si>
    <t>0.8851500153541565</t>
  </si>
  <si>
    <t>0.8876399993896484</t>
  </si>
  <si>
    <t>0.892009973526001</t>
  </si>
  <si>
    <t>0.8874099850654602</t>
  </si>
  <si>
    <t>0.8896200060844421</t>
  </si>
  <si>
    <t>0.8889999985694885</t>
  </si>
  <si>
    <t>0.8859000205993652</t>
  </si>
  <si>
    <t>0.886900007724762</t>
  </si>
  <si>
    <t>0.8863999843597412</t>
  </si>
  <si>
    <t>0.8882499933242798</t>
  </si>
  <si>
    <t>0.8921800255775452</t>
  </si>
  <si>
    <t>0.8923199772834778</t>
  </si>
  <si>
    <t>0.8880000114440918</t>
  </si>
  <si>
    <t>0.8892800211906433</t>
  </si>
  <si>
    <t>0.8853600025177002</t>
  </si>
  <si>
    <t>0.8853229880332947</t>
  </si>
  <si>
    <t>0.8880199790000916</t>
  </si>
  <si>
    <t>0.8888999819755554</t>
  </si>
  <si>
    <t>0.8891000151634216</t>
  </si>
  <si>
    <t>0.888608992099762</t>
  </si>
  <si>
    <t>0.89069002866745</t>
  </si>
  <si>
    <t>0.8913599848747253</t>
  </si>
  <si>
    <t>0.8906000256538391</t>
  </si>
  <si>
    <t>0.8964800238609314</t>
  </si>
  <si>
    <t>0.8974999785423279</t>
  </si>
  <si>
    <t>0.8983399868011475</t>
  </si>
  <si>
    <t>0.8982999920845032</t>
  </si>
  <si>
    <t>0.8983799815177917</t>
  </si>
  <si>
    <t>0.9040300250053406</t>
  </si>
  <si>
    <t>0.8991000056266785</t>
  </si>
  <si>
    <t>0.8989800214767456</t>
  </si>
  <si>
    <t>0.8985990285873413</t>
  </si>
  <si>
    <t>0.8924000263214111</t>
  </si>
  <si>
    <t>0.893060028553009</t>
  </si>
  <si>
    <t>0.8902459740638733</t>
  </si>
  <si>
    <t>0.8901200294494629</t>
  </si>
  <si>
    <t>0.8917589783668518</t>
  </si>
  <si>
    <t>0.8895000219345093</t>
  </si>
  <si>
    <t>0.8898339867591858</t>
  </si>
  <si>
    <t>0.8932179808616638</t>
  </si>
  <si>
    <t>0.8984299898147583</t>
  </si>
  <si>
    <t>0.8994699716567993</t>
  </si>
  <si>
    <t>0.8985700011253357</t>
  </si>
  <si>
    <t>0.8958100080490112</t>
  </si>
  <si>
    <t>0.8968899846076965</t>
  </si>
  <si>
    <t>0.8966900110244751</t>
  </si>
  <si>
    <t>0.8956900238990784</t>
  </si>
  <si>
    <t>0.9050999879837036</t>
  </si>
  <si>
    <t>0.9065999984741211</t>
  </si>
  <si>
    <t>0.9055699706077576</t>
  </si>
  <si>
    <t>0.9074000120162964</t>
  </si>
  <si>
    <t>0.9154800176620483</t>
  </si>
  <si>
    <t>0.914900004863739</t>
  </si>
  <si>
    <t>0.9150000214576721</t>
  </si>
  <si>
    <t>0.919700026512146</t>
  </si>
  <si>
    <t>0.9199000000953674</t>
  </si>
  <si>
    <t>0.9292799830436707</t>
  </si>
  <si>
    <t>0.9291700124740601</t>
  </si>
  <si>
    <t>0.9301999807357788</t>
  </si>
  <si>
    <t>0.9296000003814697</t>
  </si>
  <si>
    <t>0.9358000159263611</t>
  </si>
  <si>
    <t>0.9281399846076965</t>
  </si>
  <si>
    <t>0.9297000169754028</t>
  </si>
  <si>
    <t>0.9246600270271301</t>
  </si>
  <si>
    <t>0.9244999885559082</t>
  </si>
  <si>
    <t>0.9247999787330627</t>
  </si>
  <si>
    <t>0.929265022277832</t>
  </si>
  <si>
    <t>0.9275000095367432</t>
  </si>
  <si>
    <t>0.9276000261306763</t>
  </si>
  <si>
    <t>0.9249500036239624</t>
  </si>
  <si>
    <t>0.9222400188446045</t>
  </si>
  <si>
    <t>0.9273200035095215</t>
  </si>
  <si>
    <t>0.925000011920929</t>
  </si>
  <si>
    <t>0.9300400018692017</t>
  </si>
  <si>
    <t>0.9232000112533569</t>
  </si>
  <si>
    <t>0.9232900142669678</t>
  </si>
  <si>
    <t>0.9345200061798096</t>
  </si>
  <si>
    <t>0.9359899759292603</t>
  </si>
  <si>
    <t>0.9395099878311157</t>
  </si>
  <si>
    <t>0.93954998254776</t>
  </si>
  <si>
    <t>0.9388999938964844</t>
  </si>
  <si>
    <t>0.9416900277137756</t>
  </si>
  <si>
    <t>0.9438999891281128</t>
  </si>
  <si>
    <t>0.942110002040863</t>
  </si>
  <si>
    <t>0.9419999718666077</t>
  </si>
  <si>
    <t>0.9360399842262268</t>
  </si>
  <si>
    <t>0.9314000010490417</t>
  </si>
  <si>
    <t>0.9267200231552124</t>
  </si>
  <si>
    <t>0.9293000102043152</t>
  </si>
  <si>
    <t>0.9241600036621094</t>
  </si>
  <si>
    <t>0.9240000247955322</t>
  </si>
  <si>
    <t>0.9252899885177612</t>
  </si>
  <si>
    <t>0.9254000186920166</t>
  </si>
  <si>
    <t>0.9221000075340271</t>
  </si>
  <si>
    <t>0.9200999736785889</t>
  </si>
  <si>
    <t>0.9186000227928162</t>
  </si>
  <si>
    <t>0.920199990272522</t>
  </si>
  <si>
    <t>0.9226999878883362</t>
  </si>
  <si>
    <t>0.9244400262832642</t>
  </si>
  <si>
    <t>0.9218930006027222</t>
  </si>
  <si>
    <t>0.9180999994277954</t>
  </si>
  <si>
    <t>0.9205499887466431</t>
  </si>
  <si>
    <t>0.9146999716758728</t>
  </si>
  <si>
    <t>0.9168999791145325</t>
  </si>
  <si>
    <t>0.9158999919891357</t>
  </si>
  <si>
    <t>0.9167299866676331</t>
  </si>
  <si>
    <t>0.9187999963760376</t>
  </si>
  <si>
    <t>0.9170399904251099</t>
  </si>
  <si>
    <t>0.9168400168418884</t>
  </si>
  <si>
    <t>0.91389000415802</t>
  </si>
  <si>
    <t>0.9146400094032288</t>
  </si>
  <si>
    <t>0.9146000146865845</t>
  </si>
  <si>
    <t>0.9140400290489197</t>
  </si>
  <si>
    <t>0.9086999893188477</t>
  </si>
  <si>
    <t>0.9089999794960022</t>
  </si>
  <si>
    <t>0.9128999710083008</t>
  </si>
  <si>
    <t>0.9130399823188782</t>
  </si>
  <si>
    <t>0.9115399718284607</t>
  </si>
  <si>
    <t>0.9111999869346619</t>
  </si>
  <si>
    <t>0.9133999943733215</t>
  </si>
  <si>
    <t>0.9131100177764893</t>
  </si>
  <si>
    <t>0.9075899720191956</t>
  </si>
  <si>
    <t>0.9004499912261963</t>
  </si>
  <si>
    <t>0.90038001537323</t>
  </si>
  <si>
    <t>0.9031500220298767</t>
  </si>
  <si>
    <t>0.9038400053977966</t>
  </si>
  <si>
    <t>0.9085999727249146</t>
  </si>
  <si>
    <t>0.9059399962425232</t>
  </si>
  <si>
    <t>0.901199996471405</t>
  </si>
  <si>
    <t>0.9033300280570984</t>
  </si>
  <si>
    <t>0.9031999707221985</t>
  </si>
  <si>
    <t>0.8974300026893616</t>
  </si>
  <si>
    <t>0.902899980545044</t>
  </si>
  <si>
    <t>0.8967999815940857</t>
  </si>
  <si>
    <t>0.9040799736976624</t>
  </si>
  <si>
    <t>0.9044600129127502</t>
  </si>
  <si>
    <t>0.8981999754905701</t>
  </si>
  <si>
    <t>0.8973000049591064</t>
  </si>
  <si>
    <t>0.8974000215530396</t>
  </si>
  <si>
    <t>0.8956000208854675</t>
  </si>
  <si>
    <t>0.8970000147819519</t>
  </si>
  <si>
    <t>0.8939999938011169</t>
  </si>
  <si>
    <t>0.8977299928665161</t>
  </si>
  <si>
    <t>0.8970500230789185</t>
  </si>
  <si>
    <t>0.9001100063323975</t>
  </si>
  <si>
    <t>0.8969799876213074</t>
  </si>
  <si>
    <t>0.9035000205039978</t>
  </si>
  <si>
    <t>0.8966000080108643</t>
  </si>
  <si>
    <t>0.8967000246047974</t>
  </si>
  <si>
    <t>0.8946499824523926</t>
  </si>
  <si>
    <t>0.897711992263794</t>
  </si>
  <si>
    <t>0.896399974822998</t>
  </si>
  <si>
    <t>0.8985000252723694</t>
  </si>
  <si>
    <t>0.9085299968719482</t>
  </si>
  <si>
    <t>0.9176499843597412</t>
  </si>
  <si>
    <t>0.9224900007247925</t>
  </si>
  <si>
    <t>0.9186499714851379</t>
  </si>
  <si>
    <t>0.9185900092124939</t>
  </si>
  <si>
    <t>0.9154000282287598</t>
  </si>
  <si>
    <t>0.9181100130081177</t>
  </si>
  <si>
    <t>0.9179999828338623</t>
  </si>
  <si>
    <t>0.9181299805641174</t>
  </si>
  <si>
    <t>0.9166899919509888</t>
  </si>
  <si>
    <t>0.9196100234985352</t>
  </si>
  <si>
    <t>0.9194999933242798</t>
  </si>
  <si>
    <t>0.9208999872207642</t>
  </si>
  <si>
    <t>0.9204000234603882</t>
  </si>
  <si>
    <t>0.9258999824523926</t>
  </si>
  <si>
    <t>0.9215999841690063</t>
  </si>
  <si>
    <t>0.9246699810028076</t>
  </si>
  <si>
    <t>0.9147400259971619</t>
  </si>
  <si>
    <t>0.9132000207901001</t>
  </si>
  <si>
    <t>0.9150199890136719</t>
  </si>
  <si>
    <t>0.9146900177001953</t>
  </si>
  <si>
    <t>0.9178000092506409</t>
  </si>
  <si>
    <t>0.9185299873352051</t>
  </si>
  <si>
    <t>0.9163600206375122</t>
  </si>
  <si>
    <t>0.9185000061988831</t>
  </si>
  <si>
    <t>0.9212300181388855</t>
  </si>
  <si>
    <t>0.9175699949264526</t>
  </si>
  <si>
    <t>0.9175000190734863</t>
  </si>
  <si>
    <t>0.9191200137138367</t>
  </si>
  <si>
    <t>0.91839998960495</t>
  </si>
  <si>
    <t>0.9195299744606018</t>
  </si>
  <si>
    <t>0.9153000116348267</t>
  </si>
  <si>
    <t>0.9154599905014038</t>
  </si>
  <si>
    <t>0.9185600280761719</t>
  </si>
  <si>
    <t>0.9143999814987183</t>
  </si>
  <si>
    <t>0.914139986038208</t>
  </si>
  <si>
    <t>0.909500002861023</t>
  </si>
  <si>
    <t>0.9057199954986572</t>
  </si>
  <si>
    <t>0.9038199782371521</t>
  </si>
  <si>
    <t>0.9059100151062012</t>
  </si>
  <si>
    <t>0.905269980430603</t>
  </si>
  <si>
    <t>0.9052600264549255</t>
  </si>
  <si>
    <t>0.9035999774932861</t>
  </si>
  <si>
    <t>0.9064000248908997</t>
  </si>
  <si>
    <t>0.906499981880188</t>
  </si>
  <si>
    <t>0.9156000018119812</t>
  </si>
  <si>
    <t>0.9154999852180481</t>
  </si>
  <si>
    <t>0.9205999970436096</t>
  </si>
  <si>
    <t>0.9229599833488464</t>
  </si>
  <si>
    <t>0.921459972858429</t>
  </si>
  <si>
    <t>0.9214699864387512</t>
  </si>
  <si>
    <t>0.9230599999427795</t>
  </si>
  <si>
    <t>0.9125000238418579</t>
  </si>
  <si>
    <t>0.9097999930381775</t>
  </si>
  <si>
    <t>0.9147499799728394</t>
  </si>
  <si>
    <t>0.9194899797439575</t>
  </si>
  <si>
    <t>0.9148799777030945</t>
  </si>
  <si>
    <t>0.9175599813461304</t>
  </si>
  <si>
    <t>0.9144999980926514</t>
  </si>
  <si>
    <t>0.9189199805259705</t>
  </si>
  <si>
    <t>0.9157800078392029</t>
  </si>
  <si>
    <t>0.9171199798583984</t>
  </si>
  <si>
    <t>0.9122999906539917</t>
  </si>
  <si>
    <t>0.913100004196167</t>
  </si>
  <si>
    <t>0.913640022277832</t>
  </si>
  <si>
    <t>0.9179400205612183</t>
  </si>
  <si>
    <t>0.9171800017356873</t>
  </si>
  <si>
    <t>0.9155169725418091</t>
  </si>
  <si>
    <t>0.9144899845123291</t>
  </si>
  <si>
    <t>0.9114000201225281</t>
  </si>
  <si>
    <t>0.9138399958610535</t>
  </si>
  <si>
    <t>0.9136000275611877</t>
  </si>
  <si>
    <t>0.9194499850273132</t>
  </si>
  <si>
    <t>0.9218400120735168</t>
  </si>
  <si>
    <t>0.9222999811172485</t>
  </si>
  <si>
    <t>0.9165099859237671</t>
  </si>
  <si>
    <t>0.9181399941444397</t>
  </si>
  <si>
    <t>0.921999990940094</t>
  </si>
  <si>
    <t>0.9200800061225891</t>
  </si>
  <si>
    <t>0.9197099804878235</t>
  </si>
  <si>
    <t>0.9273599982261658</t>
  </si>
  <si>
    <t>0.9320399761199951</t>
  </si>
  <si>
    <t>0.9272000193595886</t>
  </si>
  <si>
    <t>0.9276700019836426</t>
  </si>
  <si>
    <t>0.9235000014305115</t>
  </si>
  <si>
    <t>0.9262999892234802</t>
  </si>
  <si>
    <t>0.9243999719619751</t>
  </si>
  <si>
    <t>0.9244700074195862</t>
  </si>
  <si>
    <t>0.9243500232696533</t>
  </si>
  <si>
    <t>0.9255890250205994</t>
  </si>
  <si>
    <t>0.9291599988937378</t>
  </si>
  <si>
    <t>0.934249997138977</t>
  </si>
  <si>
    <t>0.932479977607727</t>
  </si>
  <si>
    <t>0.9322999715805054</t>
  </si>
  <si>
    <t>0.9295700192451477</t>
  </si>
  <si>
    <t>0.9249600172042847</t>
  </si>
  <si>
    <t>0.9283999800682068</t>
  </si>
  <si>
    <t>0.9276999831199646</t>
  </si>
  <si>
    <t>0.9278500080108643</t>
  </si>
  <si>
    <t>0.9275500178337097</t>
  </si>
  <si>
    <t>0.925599992275238</t>
  </si>
  <si>
    <t>0.9304599761962891</t>
  </si>
  <si>
    <t>0.923799991607666</t>
  </si>
  <si>
    <t>0.9243699908256531</t>
  </si>
  <si>
    <t>0.9235299825668335</t>
  </si>
  <si>
    <t>0.9232779741287231</t>
  </si>
  <si>
    <t>0.9229999780654907</t>
  </si>
  <si>
    <t>0.9165530204772949</t>
  </si>
  <si>
    <t>0.9198899865150452</t>
  </si>
  <si>
    <t>0.9196000099182129</t>
  </si>
  <si>
    <t>0.9161400198936462</t>
  </si>
  <si>
    <t>0.9093400239944458</t>
  </si>
  <si>
    <t>0.9103999733924866</t>
  </si>
  <si>
    <t>0.9113100171089172</t>
  </si>
  <si>
    <t>0.9126799702644348</t>
  </si>
  <si>
    <t>0.9119700193405151</t>
  </si>
  <si>
    <t>0.9132800102233887</t>
  </si>
  <si>
    <t>0.9107000231742859</t>
  </si>
  <si>
    <t>0.9178199768066406</t>
  </si>
  <si>
    <t>0.921209990978241</t>
  </si>
  <si>
    <t>0.9200000166893005</t>
  </si>
  <si>
    <t>0.9211000204086304</t>
  </si>
  <si>
    <t>0.92535001039505</t>
  </si>
  <si>
    <t>0.9303100109100342</t>
  </si>
  <si>
    <t>0.9285299777984619</t>
  </si>
  <si>
    <t>0.9333900213241577</t>
  </si>
  <si>
    <t>0.9337999820709229</t>
  </si>
  <si>
    <t>0.9352800250053406</t>
  </si>
  <si>
    <t>0.9243199825286865</t>
  </si>
  <si>
    <t>0.9228699803352356</t>
  </si>
  <si>
    <t>0.9197999835014343</t>
  </si>
  <si>
    <t>0.9184899926185608</t>
  </si>
  <si>
    <t>0.9254999756813049</t>
  </si>
  <si>
    <t>0.9237899780273438</t>
  </si>
  <si>
    <t>0.9210699796676636</t>
  </si>
  <si>
    <t>0.9223799705505371</t>
  </si>
  <si>
    <t>0.9188399910926819</t>
  </si>
  <si>
    <t>0.9230200052261353</t>
  </si>
  <si>
    <t>0.921720027923584</t>
  </si>
  <si>
    <t>0.919439971446991</t>
  </si>
  <si>
    <t>0.9187809824943542</t>
  </si>
  <si>
    <t>0.9171599745750427</t>
  </si>
  <si>
    <t>0.9136999845504761</t>
  </si>
  <si>
    <t>0.9119750261306763</t>
  </si>
  <si>
    <t>0.9183300137519836</t>
  </si>
  <si>
    <t>0.9162099957466125</t>
  </si>
  <si>
    <t>0.9167699813842773</t>
  </si>
  <si>
    <t>0.917389988899231</t>
  </si>
  <si>
    <t>0.9214000105857849</t>
  </si>
  <si>
    <t>0.9147599935531616</t>
  </si>
  <si>
    <t>0.9110400080680847</t>
  </si>
  <si>
    <t>0.9144920110702515</t>
  </si>
  <si>
    <t>0.9139099717140198</t>
  </si>
  <si>
    <t>0.9170699715614319</t>
  </si>
  <si>
    <t>0.9126399755477905</t>
  </si>
  <si>
    <t>0.9124600291252136</t>
  </si>
  <si>
    <t>0.9140899777412415</t>
  </si>
  <si>
    <t>0.9177460074424744</t>
  </si>
  <si>
    <t>0.9239490032196045</t>
  </si>
  <si>
    <t>0.930869996547699</t>
  </si>
  <si>
    <t>0.9328799843788147</t>
  </si>
  <si>
    <t>0.9291999936103821</t>
  </si>
  <si>
    <t>0.9311299920082092</t>
  </si>
  <si>
    <t>0.927079975605011</t>
  </si>
  <si>
    <t>0.9209399819374084</t>
  </si>
  <si>
    <t>0.920930027961731</t>
  </si>
  <si>
    <t>0.9189599752426147</t>
  </si>
  <si>
    <t>0.9203699827194214</t>
  </si>
  <si>
    <t>0.9251199960708618</t>
  </si>
  <si>
    <t>0.9261999726295471</t>
  </si>
  <si>
    <t>0.925279974937439</t>
  </si>
  <si>
    <t>0.9230499863624573</t>
  </si>
  <si>
    <t>0.9231799840927124</t>
  </si>
  <si>
    <t>0.9242200255393982</t>
  </si>
  <si>
    <t>0.9295600056648254</t>
  </si>
  <si>
    <t>0.9256500005722046</t>
  </si>
  <si>
    <t>0.9258400201797485</t>
  </si>
  <si>
    <t>0.9247199892997742</t>
  </si>
  <si>
    <t>0.9245100021362305</t>
  </si>
  <si>
    <t>0.9254400134086609</t>
  </si>
  <si>
    <t>0.9157099723815918</t>
  </si>
  <si>
    <t>0.9215599894523621</t>
  </si>
  <si>
    <t>0.9174200296401978</t>
  </si>
  <si>
    <t>0.926596999168396</t>
  </si>
  <si>
    <t>0.920520007610321</t>
  </si>
  <si>
    <t>0.917900025844574</t>
  </si>
  <si>
    <t>0.9201599955558777</t>
  </si>
  <si>
    <t>0.9254500269889832</t>
  </si>
  <si>
    <t>0.9264900088310242</t>
  </si>
  <si>
    <t>0.9293799996376038</t>
  </si>
  <si>
    <t>0.9347699880599976</t>
  </si>
  <si>
    <t>0.9383000135421753</t>
  </si>
  <si>
    <t>0.940779983997345</t>
  </si>
  <si>
    <t>0.9415599703788757</t>
  </si>
  <si>
    <t>0.936020016670227</t>
  </si>
  <si>
    <t>0.9329299926757812</t>
  </si>
  <si>
    <t>0.9338799715042114</t>
  </si>
  <si>
    <t>0.9334099888801575</t>
  </si>
  <si>
    <t>0.9312999844551086</t>
  </si>
  <si>
    <t>0.9307199716567993</t>
  </si>
  <si>
    <t>0.9294899702072144</t>
  </si>
  <si>
    <t>0.9312700033187866</t>
  </si>
  <si>
    <t>0.9336699843406677</t>
  </si>
  <si>
    <t>0.9311500191688538</t>
  </si>
  <si>
    <t>0.9229699969291687</t>
  </si>
  <si>
    <t>0.9231899976730347</t>
  </si>
  <si>
    <t>0.9330499768257141</t>
  </si>
  <si>
    <t>0.9344800114631653</t>
  </si>
  <si>
    <t>0.9342399835586548</t>
  </si>
  <si>
    <t>0.932640016078949</t>
  </si>
  <si>
    <t>0.9338499903678894</t>
  </si>
  <si>
    <t>0.9429100155830383</t>
  </si>
  <si>
    <t>0.9423400163650513</t>
  </si>
  <si>
    <t>0.944599986076355</t>
  </si>
  <si>
    <t>0.9520599842071533</t>
  </si>
  <si>
    <t>0.9490000009536743</t>
  </si>
  <si>
    <t>0.9537000060081482</t>
  </si>
  <si>
    <t>0.9556000232696533</t>
  </si>
  <si>
    <t>0.9582899808883667</t>
  </si>
  <si>
    <t>0.9622300267219543</t>
  </si>
  <si>
    <t>0.9686700105667114</t>
  </si>
  <si>
    <t>0.9717000126838684</t>
  </si>
  <si>
    <t>0.9741700291633606</t>
  </si>
  <si>
    <t>0.9783999919891357</t>
  </si>
  <si>
    <t>0.977840006351471</t>
  </si>
  <si>
    <t>0.9787600040435791</t>
  </si>
  <si>
    <t>0.9731900095939636</t>
  </si>
  <si>
    <t>0.9851999878883362</t>
  </si>
  <si>
    <t>0.989329993724823</t>
  </si>
  <si>
    <t>0.9926999807357788</t>
  </si>
  <si>
    <t>0.9957000017166138</t>
  </si>
  <si>
    <t>0.9944599866867065</t>
  </si>
  <si>
    <t>1.0030499696731567</t>
  </si>
  <si>
    <t>1.0022300481796265</t>
  </si>
  <si>
    <t>1.0017199516296387</t>
  </si>
  <si>
    <t>0.9937999844551086</t>
  </si>
  <si>
    <t>0.9871399998664856</t>
  </si>
  <si>
    <t>0.9721800088882446</t>
  </si>
  <si>
    <t>0.9749900102615356</t>
  </si>
  <si>
    <t>0.9659500122070312</t>
  </si>
  <si>
    <t>0.9602000117301941</t>
  </si>
  <si>
    <t>0.9615300297737122</t>
  </si>
  <si>
    <t>0.9585599899291992</t>
  </si>
  <si>
    <t>0.9578499794006348</t>
  </si>
  <si>
    <t>0.9582300186157227</t>
  </si>
  <si>
    <t>0.9595199823379517</t>
  </si>
  <si>
    <t>0.963100016117096</t>
  </si>
  <si>
    <t>0.9574400186538696</t>
  </si>
  <si>
    <t>0.9622600078582764</t>
  </si>
  <si>
    <t>0.9713000059127808</t>
  </si>
  <si>
    <t>0.9734899997711182</t>
  </si>
  <si>
    <t>0.9788399934768677</t>
  </si>
  <si>
    <t>0.980400025844574</t>
  </si>
  <si>
    <t>0.9894499778747559</t>
  </si>
  <si>
    <t>0.9966650009155273</t>
  </si>
  <si>
    <t>0.9994999766349792</t>
  </si>
  <si>
    <t>0.9946200251579285</t>
  </si>
  <si>
    <t>0.9667400121688843</t>
  </si>
  <si>
    <t>0.9695600271224976</t>
  </si>
  <si>
    <t>0.9671000242233276</t>
  </si>
  <si>
    <t>0.9660199880599976</t>
  </si>
  <si>
    <t>0.9617499709129333</t>
  </si>
  <si>
    <t>0.961359977722168</t>
  </si>
  <si>
    <t>0.95728999376297</t>
  </si>
  <si>
    <t>0.9561600089073181</t>
  </si>
  <si>
    <t>0.9566900134086609</t>
  </si>
  <si>
    <t>0.9541800022125244</t>
  </si>
  <si>
    <t>0.9550899863243103</t>
  </si>
  <si>
    <t>0.9640899896621704</t>
  </si>
  <si>
    <t>0.9584000110626221</t>
  </si>
  <si>
    <t>0.9608299732208252</t>
  </si>
  <si>
    <t>0.9684979915618896</t>
  </si>
  <si>
    <t>0.9702000021934509</t>
  </si>
  <si>
    <t>0.973800003528595</t>
  </si>
  <si>
    <t>0.9777299761772156</t>
  </si>
  <si>
    <t>0.9827399849891663</t>
  </si>
  <si>
    <t>0.9818699955940247</t>
  </si>
  <si>
    <t>0.9807999730110168</t>
  </si>
  <si>
    <t>0.9829999804496765</t>
  </si>
  <si>
    <t>0.975600004196167</t>
  </si>
  <si>
    <t>0.9775000214576721</t>
  </si>
  <si>
    <t>0.9688000082969666</t>
  </si>
  <si>
    <t>0.9714699983596802</t>
  </si>
  <si>
    <t>0.9661999940872192</t>
  </si>
  <si>
    <t>0.9629999995231628</t>
  </si>
  <si>
    <t>0.9642900228500366</t>
  </si>
  <si>
    <t>0.9622399806976318</t>
  </si>
  <si>
    <t>0.9581900238990784</t>
  </si>
  <si>
    <t>0.9544199705123901</t>
  </si>
  <si>
    <t>0.9530699849128723</t>
  </si>
  <si>
    <t>0.9501000046730042</t>
  </si>
  <si>
    <t>0.9584800004959106</t>
  </si>
  <si>
    <t>0.9611899852752686</t>
  </si>
  <si>
    <t>0.9540799856185913</t>
  </si>
  <si>
    <t>0.9548799991607666</t>
  </si>
  <si>
    <t>0.9541699886322021</t>
  </si>
  <si>
    <t>0.942300021648407</t>
  </si>
  <si>
    <t>0.94132000207901</t>
  </si>
  <si>
    <t>0.9417999982833862</t>
  </si>
  <si>
    <t>0.9459599852561951</t>
  </si>
  <si>
    <t>0.9496600031852722</t>
  </si>
  <si>
    <t>0.9513400197029114</t>
  </si>
  <si>
    <t>0.9565899968147278</t>
  </si>
  <si>
    <t>0.9588000178337097</t>
  </si>
  <si>
    <t>0.9643999934196472</t>
  </si>
  <si>
    <t>0.9643800258636475</t>
  </si>
  <si>
    <t>0.9664599895477295</t>
  </si>
  <si>
    <t>0.9636499881744385</t>
  </si>
  <si>
    <t>0.968500018119812</t>
  </si>
  <si>
    <t>0.9671199917793274</t>
  </si>
  <si>
    <t>0.9739199876785278</t>
  </si>
  <si>
    <t>0.9790700078010559</t>
  </si>
  <si>
    <t>0.9812899827957153</t>
  </si>
  <si>
    <t>0.9833499789237976</t>
  </si>
  <si>
    <t>0.9845200181007385</t>
  </si>
  <si>
    <t>0.9769600033760071</t>
  </si>
  <si>
    <t>0.9686499834060669</t>
  </si>
  <si>
    <t>0.9599199891090393</t>
  </si>
  <si>
    <t>0.9527999758720398</t>
  </si>
  <si>
    <t>0.9603300094604492</t>
  </si>
  <si>
    <t>0.9618939757347107</t>
  </si>
  <si>
    <t>0.9617999792098999</t>
  </si>
  <si>
    <t>0.9632099866867065</t>
  </si>
  <si>
    <t>0.963699996471405</t>
  </si>
  <si>
    <t>0.9679399728775024</t>
  </si>
  <si>
    <t>0.9757000207901001</t>
  </si>
  <si>
    <t>0.9824100136756897</t>
  </si>
  <si>
    <t>0.9921299815177917</t>
  </si>
  <si>
    <t>0.9915199875831604</t>
  </si>
  <si>
    <t>0.977620005607605</t>
  </si>
  <si>
    <t>0.9749299883842468</t>
  </si>
  <si>
    <t>0.9856500029563904</t>
  </si>
  <si>
    <t>0.9925600290298462</t>
  </si>
  <si>
    <t>0.9786900281906128</t>
  </si>
  <si>
    <t>0.9813200235366821</t>
  </si>
  <si>
    <t>0.9899700284004211</t>
  </si>
  <si>
    <t>0.9945600032806396</t>
  </si>
  <si>
    <t>0.9995099902153015</t>
  </si>
  <si>
    <t>0.9976000189781189</t>
  </si>
  <si>
    <t>0.9973899722099304</t>
  </si>
  <si>
    <t>1.0014100074768066</t>
  </si>
  <si>
    <t>1.0036699771881104</t>
  </si>
  <si>
    <t>0.9955000281333923</t>
  </si>
  <si>
    <t>0.9936800003051758</t>
  </si>
  <si>
    <t>1.0048099756240845</t>
  </si>
  <si>
    <t>1.0038100481033325</t>
  </si>
  <si>
    <t>0.9978799819946289</t>
  </si>
  <si>
    <t>0.9994000196456909</t>
  </si>
  <si>
    <t>0.9946699738502502</t>
  </si>
  <si>
    <t>0.985010027885437</t>
  </si>
  <si>
    <t>0.9904400110244751</t>
  </si>
  <si>
    <t>0.9964100122451782</t>
  </si>
  <si>
    <t>0.9997000098228455</t>
  </si>
  <si>
    <t>1.0032800436019897</t>
  </si>
  <si>
    <t>1.0134199857711792</t>
  </si>
  <si>
    <t>0.9967399835586548</t>
  </si>
  <si>
    <t>0.9888799786567688</t>
  </si>
  <si>
    <t>0.9844499826431274</t>
  </si>
  <si>
    <t>0.9835000038146973</t>
  </si>
  <si>
    <t>0.9649099707603455</t>
  </si>
  <si>
    <t>0.9440500140190125</t>
  </si>
  <si>
    <t>0.9431999921798706</t>
  </si>
  <si>
    <t>0.9364500045776367</t>
  </si>
  <si>
    <t>0.944379985332489</t>
  </si>
  <si>
    <t>0.9526799917221069</t>
  </si>
  <si>
    <t>0.9533299803733826</t>
  </si>
  <si>
    <t>0.9584299921989441</t>
  </si>
  <si>
    <t>0.9510899782180786</t>
  </si>
  <si>
    <t>0.9406999945640564</t>
  </si>
  <si>
    <t>0.94336998462677</t>
  </si>
  <si>
    <t>0.947380006313324</t>
  </si>
  <si>
    <t>0.9487900137901306</t>
  </si>
  <si>
    <t>0.9543099999427795</t>
  </si>
  <si>
    <t>0.943880021572113</t>
  </si>
  <si>
    <t>0.9363899827003479</t>
  </si>
  <si>
    <t>0.9420300126075745</t>
  </si>
  <si>
    <t>0.9402700066566467</t>
  </si>
  <si>
    <t>0.9358599781990051</t>
  </si>
  <si>
    <t>0.9349899888038635</t>
  </si>
  <si>
    <t>0.9357399940490723</t>
  </si>
  <si>
    <t>0.9233599901199341</t>
  </si>
  <si>
    <t>0.9289799928665161</t>
  </si>
  <si>
    <t>0.9295899868011475</t>
  </si>
  <si>
    <t>0.9276400208473206</t>
  </si>
  <si>
    <t>0.9345800280570984</t>
  </si>
  <si>
    <t>0.9287300109863281</t>
  </si>
  <si>
    <t>0.9261900186538696</t>
  </si>
  <si>
    <t>0.9309999942779541</t>
  </si>
  <si>
    <t>0.9320099949836731</t>
  </si>
  <si>
    <t>0.9277099967002869</t>
  </si>
  <si>
    <t>0.9228500127792358</t>
  </si>
  <si>
    <t>0.9358299970626831</t>
  </si>
  <si>
    <t>0.9268699884414673</t>
  </si>
  <si>
    <t>0.9309200048446655</t>
  </si>
  <si>
    <t>0.9253900051116943</t>
  </si>
  <si>
    <t>0.9219200015068054</t>
  </si>
  <si>
    <t>0.91593998670578</t>
  </si>
  <si>
    <t>0.9216700196266174</t>
  </si>
  <si>
    <t>0.9169700145721436</t>
  </si>
  <si>
    <t>0.9208599925041199</t>
  </si>
  <si>
    <t>0.9162499904632568</t>
  </si>
  <si>
    <t>0.907260000705719</t>
  </si>
  <si>
    <t>0.9263299703598022</t>
  </si>
  <si>
    <t>0.927869975566864</t>
  </si>
  <si>
    <t>0.9216499924659729</t>
  </si>
  <si>
    <t>0.9209100008010864</t>
  </si>
  <si>
    <t>0.9219740033149719</t>
  </si>
  <si>
    <t>0.9186199903488159</t>
  </si>
  <si>
    <t>0.92153000831604</t>
  </si>
  <si>
    <t>0.9264600276947021</t>
  </si>
  <si>
    <t>0.9312400221824646</t>
  </si>
  <si>
    <t>0.9336900115013123</t>
  </si>
  <si>
    <t>0.9400299787521362</t>
  </si>
  <si>
    <t>0.9355999827384949</t>
  </si>
  <si>
    <t>0.941868007183075</t>
  </si>
  <si>
    <t>0.9394699931144714</t>
  </si>
  <si>
    <t>0.9418699741363525</t>
  </si>
  <si>
    <t>0.9368000030517578</t>
  </si>
  <si>
    <t>0.9306899905204773</t>
  </si>
  <si>
    <t>0.9422299861907959</t>
  </si>
  <si>
    <t>0.9408699870109558</t>
  </si>
  <si>
    <t>0.9328500032424927</t>
  </si>
  <si>
    <t>0.9124910235404968</t>
  </si>
  <si>
    <t>0.9122899770736694</t>
  </si>
  <si>
    <t>0.9310299754142761</t>
  </si>
  <si>
    <t>0.9267399907112122</t>
  </si>
  <si>
    <t>0.9165199995040894</t>
  </si>
  <si>
    <t>0.9164000153541565</t>
  </si>
  <si>
    <t>0.9133800268173218</t>
  </si>
  <si>
    <t>0.9175099730491638</t>
  </si>
  <si>
    <t>0.9127100110054016</t>
  </si>
  <si>
    <t>0.9053999781608582</t>
  </si>
  <si>
    <t>0.9063599705696106</t>
  </si>
  <si>
    <t>0.9043999910354614</t>
  </si>
  <si>
    <t>0.9042699933052063</t>
  </si>
  <si>
    <t>0.908810019493103</t>
  </si>
  <si>
    <t>0.8957729935646057</t>
  </si>
  <si>
    <t>0.8948000073432922</t>
  </si>
  <si>
    <t>0.8985099792480469</t>
  </si>
  <si>
    <t>0.8959000110626221</t>
  </si>
  <si>
    <t>0.8977000117301941</t>
  </si>
  <si>
    <t>0.891700029373169</t>
  </si>
  <si>
    <t>0.8870900273323059</t>
  </si>
  <si>
    <t>0.8918200135231018</t>
  </si>
  <si>
    <t>0.8924999833106995</t>
  </si>
  <si>
    <t>0.8908100128173828</t>
  </si>
  <si>
    <t>0.8938800096511841</t>
  </si>
  <si>
    <t>0.8965799808502197</t>
  </si>
  <si>
    <t>0.8958699703216553</t>
  </si>
  <si>
    <t>0.8922500014305115</t>
  </si>
  <si>
    <t>0.8834199905395508</t>
  </si>
  <si>
    <t>0.8820000290870667</t>
  </si>
  <si>
    <t>0.885200023651123</t>
  </si>
  <si>
    <t>0.8911700248718262</t>
  </si>
  <si>
    <t>0.8899099826812744</t>
  </si>
  <si>
    <t>0.8888000249862671</t>
  </si>
  <si>
    <t>0.8901600241661072</t>
  </si>
  <si>
    <t>0.8892899751663208</t>
  </si>
  <si>
    <t>0.8954600095748901</t>
  </si>
  <si>
    <t>0.8920000195503235</t>
  </si>
  <si>
    <t>0.8963500261306763</t>
  </si>
  <si>
    <t>0.8948799967765808</t>
  </si>
  <si>
    <t>0.8987420201301575</t>
  </si>
  <si>
    <t>0.9048699736595154</t>
  </si>
  <si>
    <t>0.8981900215148926</t>
  </si>
  <si>
    <t>0.9013100266456604</t>
  </si>
  <si>
    <t>0.9003000259399414</t>
  </si>
  <si>
    <t>0.9039999842643738</t>
  </si>
  <si>
    <t>0.9050499796867371</t>
  </si>
  <si>
    <t>0.9056900143623352</t>
  </si>
  <si>
    <t>0.9057999849319458</t>
  </si>
  <si>
    <t>0.9055500030517578</t>
  </si>
  <si>
    <t>0.9098899960517883</t>
  </si>
  <si>
    <t>0.9055899977684021</t>
  </si>
  <si>
    <t>0.9097200036048889</t>
  </si>
  <si>
    <t>0.9059000015258789</t>
  </si>
  <si>
    <t>0.9071300029754639</t>
  </si>
  <si>
    <t>0.9095399975776672</t>
  </si>
  <si>
    <t>0.8986999988555908</t>
  </si>
  <si>
    <t>0.90829998254776</t>
  </si>
  <si>
    <t>0.9000800251960754</t>
  </si>
  <si>
    <t>0.8916400074958801</t>
  </si>
  <si>
    <t>0.8942000269889832</t>
  </si>
  <si>
    <t>0.8931999802589417</t>
  </si>
  <si>
    <t>0.8957800269126892</t>
  </si>
  <si>
    <t>0.8954700231552124</t>
  </si>
  <si>
    <t>0.8976699709892273</t>
  </si>
  <si>
    <t>0.892300009727478</t>
  </si>
  <si>
    <t>0.8907300233840942</t>
  </si>
  <si>
    <t>0.895609974861145</t>
  </si>
  <si>
    <t>0.893750011920929</t>
  </si>
  <si>
    <t>0.8966599702835083</t>
  </si>
  <si>
    <t>0.8999699950218201</t>
  </si>
  <si>
    <t>0.8942999839782715</t>
  </si>
  <si>
    <t>0.8991400003433228</t>
  </si>
  <si>
    <t>0.8949999809265137</t>
  </si>
  <si>
    <t>0.895799994468689</t>
  </si>
  <si>
    <t>0.8972499966621399</t>
  </si>
  <si>
    <t>0.8966400027275085</t>
  </si>
  <si>
    <t>0.8985199928283691</t>
  </si>
  <si>
    <t>0.8952800035476685</t>
  </si>
  <si>
    <t>0.885129988193512</t>
  </si>
  <si>
    <t>0.8787599802017212</t>
  </si>
  <si>
    <t>0.8666099905967712</t>
  </si>
  <si>
    <t>0.8591200113296509</t>
  </si>
  <si>
    <t>0.8618999719619751</t>
  </si>
  <si>
    <t>0.8603500127792358</t>
  </si>
  <si>
    <t>0.8562700152397156</t>
  </si>
  <si>
    <t>0.8576499819755554</t>
  </si>
  <si>
    <t>0.85794997215271</t>
  </si>
  <si>
    <t>0.8662599921226501</t>
  </si>
  <si>
    <t>0.8662400245666504</t>
  </si>
  <si>
    <t>0.8698899745941162</t>
  </si>
  <si>
    <t>0.8645300269126892</t>
  </si>
  <si>
    <t>0.8615400195121765</t>
  </si>
  <si>
    <t>0.8688499927520752</t>
  </si>
  <si>
    <t>0.8698199987411499</t>
  </si>
  <si>
    <t>0.871649980545044</t>
  </si>
  <si>
    <t>0.8723800182342529</t>
  </si>
  <si>
    <t>0.8773099780082703</t>
  </si>
  <si>
    <t>0.879800021648407</t>
  </si>
  <si>
    <t>0.8742200136184692</t>
  </si>
  <si>
    <t>0.8741499781608582</t>
  </si>
  <si>
    <t>0.8726999759674072</t>
  </si>
  <si>
    <t>0.8755999803543091</t>
  </si>
  <si>
    <t>0.8766999840736389</t>
  </si>
  <si>
    <t>0.8767899870872498</t>
  </si>
  <si>
    <t>0.8766199946403503</t>
  </si>
  <si>
    <t>0.8826199769973755</t>
  </si>
  <si>
    <t>0.8779799938201904</t>
  </si>
  <si>
    <t>0.8786200284957886</t>
  </si>
  <si>
    <t>0.8801400065422058</t>
  </si>
  <si>
    <t>0.8782399892807007</t>
  </si>
  <si>
    <t>0.8822699785232544</t>
  </si>
  <si>
    <t>0.878462016582489</t>
  </si>
  <si>
    <t>0.8774099946022034</t>
  </si>
  <si>
    <t>0.8758000135421753</t>
  </si>
  <si>
    <t>0.8847299814224243</t>
  </si>
  <si>
    <t>0.8834999799728394</t>
  </si>
  <si>
    <t>0.8789600133895874</t>
  </si>
  <si>
    <t>0.8802700042724609</t>
  </si>
  <si>
    <t>0.8831999897956848</t>
  </si>
  <si>
    <t>0.8852900266647339</t>
  </si>
  <si>
    <t>0.8847699761390686</t>
  </si>
  <si>
    <t>0.8842999935150146</t>
  </si>
  <si>
    <t>0.8893899917602539</t>
  </si>
  <si>
    <t>0.8926699757575989</t>
  </si>
  <si>
    <t>0.8912100195884705</t>
  </si>
  <si>
    <t>0.8913900256156921</t>
  </si>
  <si>
    <t>0.8968799710273743</t>
  </si>
  <si>
    <t>0.8952000141143799</t>
  </si>
  <si>
    <t>0.8973100185394287</t>
  </si>
  <si>
    <t>0.8992000222206116</t>
  </si>
  <si>
    <t>0.9044700264930725</t>
  </si>
  <si>
    <t>0.9071000218391418</t>
  </si>
  <si>
    <t>0.9120799899101257</t>
  </si>
  <si>
    <t>0.9115999937057495</t>
  </si>
  <si>
    <t>0.9157599806785583</t>
  </si>
  <si>
    <t>0.9208199977874756</t>
  </si>
  <si>
    <t>0.9209700226783752</t>
  </si>
  <si>
    <t>0.9166100025177002</t>
  </si>
  <si>
    <t>0.9125900268554688</t>
  </si>
  <si>
    <t>0.9060999751091003</t>
  </si>
  <si>
    <t>0.9048399925231934</t>
  </si>
  <si>
    <t>0.9045500159263611</t>
  </si>
  <si>
    <t>0.9009900093078613</t>
  </si>
  <si>
    <t>0.9078199863433838</t>
  </si>
  <si>
    <t>0.9024900197982788</t>
  </si>
  <si>
    <t>0.9004700183868408</t>
  </si>
  <si>
    <t>0.891789972782135</t>
  </si>
  <si>
    <t>0.898829996585846</t>
  </si>
  <si>
    <t>0.902400016784668</t>
  </si>
  <si>
    <t>0.9020599722862244</t>
  </si>
  <si>
    <t>0.8992099761962891</t>
  </si>
  <si>
    <t>0.8990799784660339</t>
  </si>
  <si>
    <t>0.9019799828529358</t>
  </si>
  <si>
    <t>0.8870800137519836</t>
  </si>
  <si>
    <t>0.888480007648468</t>
  </si>
  <si>
    <t>0.8859300017356873</t>
  </si>
  <si>
    <t>0.8843600153923035</t>
  </si>
  <si>
    <t>0.8831800222396851</t>
  </si>
  <si>
    <t>0.8840299844741821</t>
  </si>
  <si>
    <t>0.8844699859619141</t>
  </si>
  <si>
    <t>0.8822500109672546</t>
  </si>
  <si>
    <t>0.8799999952316284</t>
  </si>
  <si>
    <t>0.8769000172615051</t>
  </si>
  <si>
    <t>0.8733199834823608</t>
  </si>
  <si>
    <t>0.8746600151062012</t>
  </si>
  <si>
    <t>0.8695999979972839</t>
  </si>
  <si>
    <t>0.8678500056266785</t>
  </si>
  <si>
    <t>0.8725100159645081</t>
  </si>
  <si>
    <t>0.8749359846115112</t>
  </si>
  <si>
    <t>0.8746399879455566</t>
  </si>
  <si>
    <t>0.8754400014877319</t>
  </si>
  <si>
    <t>0.8796200156211853</t>
  </si>
  <si>
    <t>0.8780999779701233</t>
  </si>
  <si>
    <t>0.8751299977302551</t>
  </si>
  <si>
    <t>0.8709700107574463</t>
  </si>
  <si>
    <t>0.8729000091552734</t>
  </si>
  <si>
    <t>0.8671299815177917</t>
  </si>
  <si>
    <t>0.8706120252609253</t>
  </si>
  <si>
    <t>0.867110013961792</t>
  </si>
  <si>
    <t>0.8603000044822693</t>
  </si>
  <si>
    <t>0.8624600172042847</t>
  </si>
  <si>
    <t>0.8550699949264526</t>
  </si>
  <si>
    <t>0.8557400107383728</t>
  </si>
  <si>
    <t>0.8535799980163574</t>
  </si>
  <si>
    <t>0.8423299789428711</t>
  </si>
  <si>
    <t>0.8433600068092346</t>
  </si>
  <si>
    <t>0.8407589793205261</t>
  </si>
  <si>
    <t>0.8418899774551392</t>
  </si>
  <si>
    <t>0.8501200079917908</t>
  </si>
  <si>
    <t>0.8489000201225281</t>
  </si>
  <si>
    <t>0.8500000238418579</t>
  </si>
  <si>
    <t>0.8507300019264221</t>
  </si>
  <si>
    <t>0.8478999733924866</t>
  </si>
  <si>
    <t>0.852370023727417</t>
  </si>
  <si>
    <t>0.8504999876022339</t>
  </si>
  <si>
    <t>0.8510100245475769</t>
  </si>
  <si>
    <t>0.8533200025558472</t>
  </si>
  <si>
    <t>0.8559799790382385</t>
  </si>
  <si>
    <t>0.861299991607666</t>
  </si>
  <si>
    <t>0.8684599995613098</t>
  </si>
  <si>
    <t>0.8643220067024231</t>
  </si>
  <si>
    <t>0.8680800199508667</t>
  </si>
  <si>
    <t>0.8684800267219543</t>
  </si>
  <si>
    <t>0.8691200017929077</t>
  </si>
  <si>
    <t>0.8630200028419495</t>
  </si>
  <si>
    <t>0.8669000267982483</t>
  </si>
  <si>
    <t>0.864139974117279</t>
  </si>
  <si>
    <t>0.8613200187683105</t>
  </si>
  <si>
    <t>0.8618599772453308</t>
  </si>
  <si>
    <t>0.862339973449707</t>
  </si>
  <si>
    <t>0.8576200008392334</t>
  </si>
  <si>
    <t>0.8669800162315369</t>
  </si>
  <si>
    <t>0.8707000017166138</t>
  </si>
  <si>
    <t>0.8739100098609924</t>
  </si>
  <si>
    <t>0.8694999814033508</t>
  </si>
  <si>
    <t>0.873449981212616</t>
  </si>
  <si>
    <t>0.8741599917411804</t>
  </si>
  <si>
    <t>0.880649983882904</t>
  </si>
  <si>
    <t>0.8827469944953918</t>
  </si>
  <si>
    <t>0.8818100094795227</t>
  </si>
  <si>
    <t>0.8792499899864197</t>
  </si>
  <si>
    <t>0.8799499869346619</t>
  </si>
  <si>
    <t>0.8798999786376953</t>
  </si>
  <si>
    <t>0.8787999749183655</t>
  </si>
  <si>
    <t>0.8787099719047546</t>
  </si>
  <si>
    <t>0.8844000101089478</t>
  </si>
  <si>
    <t>0.8833400011062622</t>
  </si>
  <si>
    <t>0.8835800290107727</t>
  </si>
  <si>
    <t>0.882099986076355</t>
  </si>
  <si>
    <t>0.8770999908447266</t>
  </si>
  <si>
    <t>0.8775100111961365</t>
  </si>
  <si>
    <t>0.8772500157356262</t>
  </si>
  <si>
    <t>0.8773900270462036</t>
  </si>
  <si>
    <t>0.8783800005912781</t>
  </si>
  <si>
    <t>0.8842700123786926</t>
  </si>
  <si>
    <t>0.8835899829864502</t>
  </si>
  <si>
    <t>0.8875100016593933</t>
  </si>
  <si>
    <t>0.8885400295257568</t>
  </si>
  <si>
    <t>0.8855500221252441</t>
  </si>
  <si>
    <t>0.8976799845695496</t>
  </si>
  <si>
    <t>0.8976200222969055</t>
  </si>
  <si>
    <t>0.9036499857902527</t>
  </si>
  <si>
    <t>0.9054999947547913</t>
  </si>
  <si>
    <t>0.9010699987411499</t>
  </si>
  <si>
    <t>0.9020000100135803</t>
  </si>
  <si>
    <t>0.9050700068473816</t>
  </si>
  <si>
    <t>0.9028900265693665</t>
  </si>
  <si>
    <t>0.9015100002288818</t>
  </si>
  <si>
    <t>0.9031699895858765</t>
  </si>
  <si>
    <t>0.9050099849700928</t>
  </si>
  <si>
    <t>0.9029800295829773</t>
  </si>
  <si>
    <t>0.9098299741744995</t>
  </si>
  <si>
    <t>0.9137700200080872</t>
  </si>
  <si>
    <t>0.9121000170707703</t>
  </si>
  <si>
    <t>0.912559986114502</t>
  </si>
  <si>
    <t>0.9078999757766724</t>
  </si>
  <si>
    <t>0.9109830260276794</t>
  </si>
  <si>
    <t>0.9118899703025818</t>
  </si>
  <si>
    <t>0.9144399762153625</t>
  </si>
  <si>
    <t>0.9125199913978577</t>
  </si>
  <si>
    <t>0.9136880040168762</t>
  </si>
  <si>
    <t>0.9107199907302856</t>
  </si>
  <si>
    <t>0.9097700119018555</t>
  </si>
  <si>
    <t>0.9067000150680542</t>
  </si>
  <si>
    <t>0.9084799885749817</t>
  </si>
  <si>
    <t>0.9079899787902832</t>
  </si>
  <si>
    <t>0.9058499932289124</t>
  </si>
  <si>
    <t>0.9064499735832214</t>
  </si>
  <si>
    <t>0.9018399715423584</t>
  </si>
  <si>
    <t>0.9005299806594849</t>
  </si>
  <si>
    <t>0.9059900045394897</t>
  </si>
  <si>
    <t>0.9101200103759766</t>
  </si>
  <si>
    <t>0.9111599922180176</t>
  </si>
  <si>
    <t>0.914330005645752</t>
  </si>
  <si>
    <t>0.9128000140190125</t>
  </si>
  <si>
    <t>0.9033100008964539</t>
  </si>
  <si>
    <t>0.9002000093460083</t>
  </si>
  <si>
    <t>0.9013199806213379</t>
  </si>
  <si>
    <t>0.8950200080871582</t>
  </si>
  <si>
    <t>0.8899499773979187</t>
  </si>
  <si>
    <t>0.8930500149726868</t>
  </si>
  <si>
    <t>0.8897200226783752</t>
  </si>
  <si>
    <t>0.8960999846458435</t>
  </si>
  <si>
    <t>0.8977800011634827</t>
  </si>
  <si>
    <t>0.8942599892616272</t>
  </si>
  <si>
    <t>0.8939300179481506</t>
  </si>
  <si>
    <t>0.8841800093650818</t>
  </si>
  <si>
    <t>0.8914899826049805</t>
  </si>
  <si>
    <t>0.89410001039505</t>
  </si>
  <si>
    <t>0.8931900262832642</t>
  </si>
  <si>
    <t>0.9031599760055542</t>
  </si>
  <si>
    <t>0.903689980506897</t>
  </si>
  <si>
    <t>0.9007599949836731</t>
  </si>
  <si>
    <t>0.9002500176429749</t>
  </si>
  <si>
    <t>0.8952299952507019</t>
  </si>
  <si>
    <t>0.8978099822998047</t>
  </si>
  <si>
    <t>0.8960300087928772</t>
  </si>
  <si>
    <t>0.8932200074195862</t>
  </si>
  <si>
    <t>0.8823500275611877</t>
  </si>
  <si>
    <t>0.8873000144958496</t>
  </si>
  <si>
    <t>0.8880100250244141</t>
  </si>
  <si>
    <t>0.8915200233459473</t>
  </si>
  <si>
    <t>0.8850200176239014</t>
  </si>
  <si>
    <t>0.8806399703025818</t>
  </si>
  <si>
    <t>0.8860999941825867</t>
  </si>
  <si>
    <t>0.8820300102233887</t>
  </si>
  <si>
    <t>0.8781399726867676</t>
  </si>
  <si>
    <t>0.8561000227928162</t>
  </si>
  <si>
    <t>0.8548300266265869</t>
  </si>
  <si>
    <t>0.8525500297546387</t>
  </si>
  <si>
    <t>0.8592699766159058</t>
  </si>
  <si>
    <t>0.8668500185012817</t>
  </si>
  <si>
    <t>0.8650400042533875</t>
  </si>
  <si>
    <t>0.8647300004959106</t>
  </si>
  <si>
    <t>0.8650500178337097</t>
  </si>
  <si>
    <t>0.8648059964179993</t>
  </si>
  <si>
    <t>0.8724899888038635</t>
  </si>
  <si>
    <t>0.8662999868392944</t>
  </si>
  <si>
    <t>0.867579996585846</t>
  </si>
  <si>
    <t>0.8623700141906738</t>
  </si>
  <si>
    <t>0.8535599708557129</t>
  </si>
  <si>
    <t>0.8511000275611877</t>
  </si>
  <si>
    <t>0.8517000079154968</t>
  </si>
  <si>
    <t>0.847320020198822</t>
  </si>
  <si>
    <t>0.847100019454956</t>
  </si>
  <si>
    <t>0.8417199850082397</t>
  </si>
  <si>
    <t>0.8418200016021729</t>
  </si>
  <si>
    <t>0.8469399809837341</t>
  </si>
  <si>
    <t>0.8513699769973755</t>
  </si>
  <si>
    <t>0.8499299883842468</t>
  </si>
  <si>
    <t>0.8460400104522705</t>
  </si>
  <si>
    <t>0.8438100218772888</t>
  </si>
  <si>
    <t>0.843940019607544</t>
  </si>
  <si>
    <t>0.8494499921798706</t>
  </si>
  <si>
    <t>0.8466200232505798</t>
  </si>
  <si>
    <t>0.8525999784469604</t>
  </si>
  <si>
    <t>0.8498799800872803</t>
  </si>
  <si>
    <t>0.8476999998092651</t>
  </si>
  <si>
    <t>0.8445799946784973</t>
  </si>
  <si>
    <t>0.8463299870491028</t>
  </si>
  <si>
    <t>0.8472999930381775</t>
  </si>
  <si>
    <t>0.8477799892425537</t>
  </si>
  <si>
    <t>0.8508999943733215</t>
  </si>
  <si>
    <t>0.841509997844696</t>
  </si>
  <si>
    <t>0.850570023059845</t>
  </si>
  <si>
    <t>0.8462399840354919</t>
  </si>
  <si>
    <t>0.840499997138977</t>
  </si>
  <si>
    <t>0.8453099727630615</t>
  </si>
  <si>
    <t>0.846340000629425</t>
  </si>
  <si>
    <t>0.8499100208282471</t>
  </si>
  <si>
    <t>0.8518099784851074</t>
  </si>
  <si>
    <t>0.8586900234222412</t>
  </si>
  <si>
    <t>0.8545799851417542</t>
  </si>
  <si>
    <t>0.8574000000953674</t>
  </si>
  <si>
    <t>0.8604699969291687</t>
  </si>
  <si>
    <t>0.8565499782562256</t>
  </si>
  <si>
    <t>0.858299970626831</t>
  </si>
  <si>
    <t>0.8621000051498413</t>
  </si>
  <si>
    <t>0.8625400066375732</t>
  </si>
  <si>
    <t>0.8652999997138977</t>
  </si>
  <si>
    <t>0.8659300208091736</t>
  </si>
  <si>
    <t>0.8649299740791321</t>
  </si>
  <si>
    <t>0.8654099702835083</t>
  </si>
  <si>
    <t>0.8655300140380859</t>
  </si>
  <si>
    <t>0.8667399883270264</t>
  </si>
  <si>
    <t>0.8658699989318848</t>
  </si>
  <si>
    <t>0.8648599982261658</t>
  </si>
  <si>
    <t>0.8672199845314026</t>
  </si>
  <si>
    <t>0.86353999376297</t>
  </si>
  <si>
    <t>0.8676000237464905</t>
  </si>
  <si>
    <t>0.8641700148582458</t>
  </si>
  <si>
    <t>0.8624100089073181</t>
  </si>
  <si>
    <t>0.8756999969482422</t>
  </si>
  <si>
    <t>0.8727800250053406</t>
  </si>
  <si>
    <t>0.8759999871253967</t>
  </si>
  <si>
    <t>0.8821600079536438</t>
  </si>
  <si>
    <t>0.8857700228691101</t>
  </si>
  <si>
    <t>0.8904399871826172</t>
  </si>
  <si>
    <t>0.888670027256012</t>
  </si>
  <si>
    <t>0.882070004940033</t>
  </si>
  <si>
    <t>0.883650004863739</t>
  </si>
  <si>
    <t>0.890470027923584</t>
  </si>
  <si>
    <t>0.8862699866294861</t>
  </si>
  <si>
    <t>0.8823400139808655</t>
  </si>
  <si>
    <t>0.8826900124549866</t>
  </si>
  <si>
    <t>0.8820269703865051</t>
  </si>
  <si>
    <t>0.8862800002098083</t>
  </si>
  <si>
    <t>0.8837500214576721</t>
  </si>
  <si>
    <t>0.8784199953079224</t>
  </si>
  <si>
    <t>0.8786699771881104</t>
  </si>
  <si>
    <t>0.8785899877548218</t>
  </si>
  <si>
    <t>0.8824999928474426</t>
  </si>
  <si>
    <t>0.8832100033760071</t>
  </si>
  <si>
    <t>0.8917440176010132</t>
  </si>
  <si>
    <t>0.8940399885177612</t>
  </si>
  <si>
    <t>0.8924800157546997</t>
  </si>
  <si>
    <t>0.9017000198364258</t>
  </si>
  <si>
    <t>0.8989899754524231</t>
  </si>
  <si>
    <t>0.8984699845314026</t>
  </si>
  <si>
    <t>0.883400022983551</t>
  </si>
  <si>
    <t>0.8994200229644775</t>
  </si>
  <si>
    <t>0.8988999724388123</t>
  </si>
  <si>
    <t>0.9032400250434875</t>
  </si>
  <si>
    <t>0.9077500104904175</t>
  </si>
  <si>
    <t>0.9120100140571594</t>
  </si>
  <si>
    <t>0.909309983253479</t>
  </si>
  <si>
    <t>0.9050400257110596</t>
  </si>
  <si>
    <t>0.9094499945640564</t>
  </si>
  <si>
    <t>0.9109500050544739</t>
  </si>
  <si>
    <t>0.9120699763298035</t>
  </si>
  <si>
    <t>0.91211998462677</t>
  </si>
  <si>
    <t>0.9111700057983398</t>
  </si>
  <si>
    <t>0.906059980392456</t>
  </si>
  <si>
    <t>0.9067100286483765</t>
  </si>
  <si>
    <t>0.9063100218772888</t>
  </si>
  <si>
    <t>0.9074900150299072</t>
  </si>
  <si>
    <t>0.9068400263786316</t>
  </si>
  <si>
    <t>0.904009997844696</t>
  </si>
  <si>
    <t>0.9041299819946289</t>
  </si>
  <si>
    <t>0.9062700271606445</t>
  </si>
  <si>
    <t>0.9093689918518066</t>
  </si>
  <si>
    <t>0.9152299761772156</t>
  </si>
  <si>
    <t>0.9116100072860718</t>
  </si>
  <si>
    <t>0.905239999294281</t>
  </si>
  <si>
    <t>0.9013299942016602</t>
  </si>
  <si>
    <t>0.9107400178909302</t>
  </si>
  <si>
    <t>0.911329984664917</t>
  </si>
  <si>
    <t>0.9129899740219116</t>
  </si>
  <si>
    <t>0.903249979019165</t>
  </si>
  <si>
    <t>0.8998299837112427</t>
  </si>
  <si>
    <t>0.9007200002670288</t>
  </si>
  <si>
    <t>0.9045600295066833</t>
  </si>
  <si>
    <t>0.8980600237846375</t>
  </si>
  <si>
    <t>0.8984500169754028</t>
  </si>
  <si>
    <t>0.8999199867248535</t>
  </si>
  <si>
    <t>0.9025700092315674</t>
  </si>
  <si>
    <t>0.8896399736404419</t>
  </si>
  <si>
    <t>0.8833199739456177</t>
  </si>
  <si>
    <t>0.8773400187492371</t>
  </si>
  <si>
    <t>0.8799800276756287</t>
  </si>
  <si>
    <t>0.8834400177001953</t>
  </si>
  <si>
    <t>0.8817700147628784</t>
  </si>
  <si>
    <t>0.884090006351471</t>
  </si>
  <si>
    <t>0.881201982498169</t>
  </si>
  <si>
    <t>0.8767449855804443</t>
  </si>
  <si>
    <t>0.8763999938964844</t>
  </si>
  <si>
    <t>0.8813769817352295</t>
  </si>
  <si>
    <t>0.8829200267791748</t>
  </si>
  <si>
    <t>0.8826500177383423</t>
  </si>
  <si>
    <t>0.8841599822044373</t>
  </si>
  <si>
    <t>0.8813999891281128</t>
  </si>
  <si>
    <t>0.8808500170707703</t>
  </si>
  <si>
    <t>0.8838199973106384</t>
  </si>
  <si>
    <t>0.8592100143432617</t>
  </si>
  <si>
    <t>0.851610004901886</t>
  </si>
  <si>
    <t>0.8597099781036377</t>
  </si>
  <si>
    <t>0.8456599712371826</t>
  </si>
  <si>
    <t>0.8554499745368958</t>
  </si>
  <si>
    <t>0.8207600116729736</t>
  </si>
  <si>
    <t>0.8256300091743469</t>
  </si>
  <si>
    <t>0.8180599808692932</t>
  </si>
  <si>
    <t>0.8159599900245667</t>
  </si>
  <si>
    <t>0.8207700252532959</t>
  </si>
  <si>
    <t>0.8137500286102295</t>
  </si>
  <si>
    <t>0.8137099742889404</t>
  </si>
  <si>
    <t>0.8090500235557556</t>
  </si>
  <si>
    <t>0.8260700106620789</t>
  </si>
  <si>
    <t>0.829800009727478</t>
  </si>
  <si>
    <t>0.8287400007247925</t>
  </si>
  <si>
    <t>0.8284000158309937</t>
  </si>
  <si>
    <t>0.8211899995803833</t>
  </si>
  <si>
    <t>0.823419988155365</t>
  </si>
  <si>
    <t>0.8259599804878235</t>
  </si>
  <si>
    <t>0.828980028629303</t>
  </si>
  <si>
    <t>0.8241000175476074</t>
  </si>
  <si>
    <t>0.8217909932136536</t>
  </si>
  <si>
    <t>0.8239499926567078</t>
  </si>
  <si>
    <t>0.8317999839782715</t>
  </si>
  <si>
    <t>0.8337299823760986</t>
  </si>
  <si>
    <t>0.8448699712753296</t>
  </si>
  <si>
    <t>0.8394299745559692</t>
  </si>
  <si>
    <t>0.8412320017814636</t>
  </si>
  <si>
    <t>0.8345999717712402</t>
  </si>
  <si>
    <t>0.8354499936103821</t>
  </si>
  <si>
    <t>0.8349900245666504</t>
  </si>
  <si>
    <t>0.8267120122909546</t>
  </si>
  <si>
    <t>0.8250700235366821</t>
  </si>
  <si>
    <t>0.8283799886703491</t>
  </si>
  <si>
    <t>0.822409987449646</t>
  </si>
  <si>
    <t>0.8204200267791748</t>
  </si>
  <si>
    <t>0.8272600173950195</t>
  </si>
  <si>
    <t>0.8325499892234802</t>
  </si>
  <si>
    <t>0.8219699859619141</t>
  </si>
  <si>
    <t>0.8222699761390686</t>
  </si>
  <si>
    <t>0.8159400224685669</t>
  </si>
  <si>
    <t>0.8228899836540222</t>
  </si>
  <si>
    <t>0.8179699778556824</t>
  </si>
  <si>
    <t>0.8192499876022339</t>
  </si>
  <si>
    <t>0.8212599754333496</t>
  </si>
  <si>
    <t>0.8212000131607056</t>
  </si>
  <si>
    <t>0.8219199776649475</t>
  </si>
  <si>
    <t>0.8184000253677368</t>
  </si>
  <si>
    <t>0.8090000152587891</t>
  </si>
  <si>
    <t>0.8122159838676453</t>
  </si>
  <si>
    <t>0.8118000030517578</t>
  </si>
  <si>
    <t>0.8168699741363525</t>
  </si>
  <si>
    <t>0.8190600275993347</t>
  </si>
  <si>
    <t>0.8163899779319763</t>
  </si>
  <si>
    <t>0.8177499771118164</t>
  </si>
  <si>
    <t>0.8125799894332886</t>
  </si>
  <si>
    <t>0.8037999868392944</t>
  </si>
  <si>
    <t>0.8051499724388123</t>
  </si>
  <si>
    <t>0.8037300109863281</t>
  </si>
  <si>
    <t>0.8008900284767151</t>
  </si>
  <si>
    <t>0.7960100173950195</t>
  </si>
  <si>
    <t>0.7982500195503235</t>
  </si>
  <si>
    <t>0.7927200198173523</t>
  </si>
  <si>
    <t>0.790690004825592</t>
  </si>
  <si>
    <t>0.7914999723434448</t>
  </si>
  <si>
    <t>0.7940999865531921</t>
  </si>
  <si>
    <t>0.7948700189590454</t>
  </si>
  <si>
    <t>0.7940400242805481</t>
  </si>
  <si>
    <t>0.7971600294113159</t>
  </si>
  <si>
    <t>0.7958700060844421</t>
  </si>
  <si>
    <t>0.792930006980896</t>
  </si>
  <si>
    <t>0.796720027923584</t>
  </si>
  <si>
    <t>0.795199990272522</t>
  </si>
  <si>
    <t>0.7967900037765503</t>
  </si>
  <si>
    <t>0.7978699803352356</t>
  </si>
  <si>
    <t>0.8014199733734131</t>
  </si>
  <si>
    <t>0.8009200096130371</t>
  </si>
  <si>
    <t>0.8028799891471863</t>
  </si>
  <si>
    <t>0.8011800050735474</t>
  </si>
  <si>
    <t>0.798084020614624</t>
  </si>
  <si>
    <t>0.7936300039291382</t>
  </si>
  <si>
    <t>0.7920470237731934</t>
  </si>
  <si>
    <t>0.7953699827194214</t>
  </si>
  <si>
    <t>0.8030999898910522</t>
  </si>
  <si>
    <t>0.8054699897766113</t>
  </si>
  <si>
    <t>0.8132100105285645</t>
  </si>
  <si>
    <t>0.8138999938964844</t>
  </si>
  <si>
    <t>0.8040099740028381</t>
  </si>
  <si>
    <t>0.8070899844169617</t>
  </si>
  <si>
    <t>0.8069199919700623</t>
  </si>
  <si>
    <t>0.8052899837493896</t>
  </si>
  <si>
    <t>0.8060500025749207</t>
  </si>
  <si>
    <t>0.8056899905204773</t>
  </si>
  <si>
    <t>0.8074700236320496</t>
  </si>
  <si>
    <t>0.8061400055885315</t>
  </si>
  <si>
    <t>0.8047199845314026</t>
  </si>
  <si>
    <t>0.8075199723243713</t>
  </si>
  <si>
    <t>0.8065999746322632</t>
  </si>
  <si>
    <t>0.8074100017547607</t>
  </si>
  <si>
    <t>0.8046000003814697</t>
  </si>
  <si>
    <t>0.8077700138092041</t>
  </si>
  <si>
    <t>0.8041399717330933</t>
  </si>
  <si>
    <t>0.8086699843406677</t>
  </si>
  <si>
    <t>0.8003299832344055</t>
  </si>
  <si>
    <t>0.8022599816322327</t>
  </si>
  <si>
    <t>0.8015000224113464</t>
  </si>
  <si>
    <t>0.8061699867248535</t>
  </si>
  <si>
    <t>0.8037599921226501</t>
  </si>
  <si>
    <t>0.8015900254249573</t>
  </si>
  <si>
    <t>0.8006399869918823</t>
  </si>
  <si>
    <t>0.8001499772071838</t>
  </si>
  <si>
    <t>0.8051300048828125</t>
  </si>
  <si>
    <t>0.7991799712181091</t>
  </si>
  <si>
    <t>0.7928100228309631</t>
  </si>
  <si>
    <t>0.7972999811172485</t>
  </si>
  <si>
    <t>0.7986699938774109</t>
  </si>
  <si>
    <t>0.7959499955177307</t>
  </si>
  <si>
    <t>0.7967000007629395</t>
  </si>
  <si>
    <t>0.7946599721908569</t>
  </si>
  <si>
    <t>0.7859100103378296</t>
  </si>
  <si>
    <t>0.7883399724960327</t>
  </si>
  <si>
    <t>0.7925099730491638</t>
  </si>
  <si>
    <t>0.7962300181388855</t>
  </si>
  <si>
    <t>0.792389988899231</t>
  </si>
  <si>
    <t>0.7914299964904785</t>
  </si>
  <si>
    <t>0.8000400066375732</t>
  </si>
  <si>
    <t>0.7974799871444702</t>
  </si>
  <si>
    <t>0.7972000241279602</t>
  </si>
  <si>
    <t>0.7961999773979187</t>
  </si>
  <si>
    <t>0.7969099879264832</t>
  </si>
  <si>
    <t>0.7970200181007385</t>
  </si>
  <si>
    <t>0.7971900105476379</t>
  </si>
  <si>
    <t>0.7949100136756897</t>
  </si>
  <si>
    <t>0.7985900044441223</t>
  </si>
  <si>
    <t>0.8023200035095215</t>
  </si>
  <si>
    <t>0.8042899966239929</t>
  </si>
  <si>
    <t>0.8015300035476685</t>
  </si>
  <si>
    <t>0.7965499758720398</t>
  </si>
  <si>
    <t>0.7918300032615662</t>
  </si>
  <si>
    <t>0.7935900092124939</t>
  </si>
  <si>
    <t>0.7942799925804138</t>
  </si>
  <si>
    <t>0.7924000024795532</t>
  </si>
  <si>
    <t>0.7960900068283081</t>
  </si>
  <si>
    <t>0.7950800061225891</t>
  </si>
  <si>
    <t>0.7960500121116638</t>
  </si>
  <si>
    <t>0.7946100234985352</t>
  </si>
  <si>
    <t>0.7928299903869629</t>
  </si>
  <si>
    <t>0.7997999787330627</t>
  </si>
  <si>
    <t>0.8048499822616577</t>
  </si>
  <si>
    <t>0.8048999905586243</t>
  </si>
  <si>
    <t>0.8081300258636475</t>
  </si>
  <si>
    <t>0.8103299736976624</t>
  </si>
  <si>
    <t>0.8097299933433533</t>
  </si>
  <si>
    <t>0.805899977684021</t>
  </si>
  <si>
    <t>0.8051599860191345</t>
  </si>
  <si>
    <t>0.797819972038269</t>
  </si>
  <si>
    <t>0.7932699918746948</t>
  </si>
  <si>
    <t>0.796239972114563</t>
  </si>
  <si>
    <t>0.8001999855041504</t>
  </si>
  <si>
    <t>0.8054199814796448</t>
  </si>
  <si>
    <t>0.8054800033569336</t>
  </si>
  <si>
    <t>0.8086100220680237</t>
  </si>
  <si>
    <t>0.8079800009727478</t>
  </si>
  <si>
    <t>0.8034899830818176</t>
  </si>
  <si>
    <t>0.8033400177955627</t>
  </si>
  <si>
    <t>0.8028600215911865</t>
  </si>
  <si>
    <t>0.7997599840164185</t>
  </si>
  <si>
    <t>0.8037800192832947</t>
  </si>
  <si>
    <t>0.8066380023956299</t>
  </si>
  <si>
    <t>0.7993800044059753</t>
  </si>
  <si>
    <t>0.7947900295257568</t>
  </si>
  <si>
    <t>0.7961400151252747</t>
  </si>
  <si>
    <t>0.7940099835395813</t>
  </si>
  <si>
    <t>0.7958300113677979</t>
  </si>
  <si>
    <t>Date Gold</t>
  </si>
  <si>
    <t>Price Gold</t>
  </si>
  <si>
    <t>Date USDCHF</t>
  </si>
  <si>
    <t>Price USDCHF</t>
  </si>
  <si>
    <t>Gold_Price</t>
  </si>
  <si>
    <t>CHF_Price_in_USD</t>
  </si>
  <si>
    <t>Ret_Gold</t>
  </si>
  <si>
    <t>Ret_CHF</t>
  </si>
  <si>
    <t>GoldPrice</t>
  </si>
  <si>
    <t>CHF/USD Price</t>
  </si>
  <si>
    <t>CHF return</t>
  </si>
  <si>
    <t>Gold Return</t>
  </si>
  <si>
    <t>Metrics</t>
  </si>
  <si>
    <t>Gold Excel</t>
  </si>
  <si>
    <t>CHF Excel</t>
  </si>
  <si>
    <t>Mean</t>
  </si>
  <si>
    <t>Volatility</t>
  </si>
  <si>
    <t>Min</t>
  </si>
  <si>
    <t>Max</t>
  </si>
  <si>
    <t>Correlation</t>
  </si>
  <si>
    <t>Beta</t>
  </si>
  <si>
    <t>Intercept</t>
  </si>
  <si>
    <t>R²</t>
  </si>
  <si>
    <t>EXCEL</t>
  </si>
  <si>
    <t>VBA</t>
  </si>
  <si>
    <t>Comparison</t>
  </si>
  <si>
    <t>correlation</t>
  </si>
  <si>
    <t>beta</t>
  </si>
  <si>
    <t>Beta (Gold/CHF)</t>
  </si>
  <si>
    <t>Statistical Indicator</t>
  </si>
  <si>
    <t>Value</t>
  </si>
  <si>
    <t>Mean (Gold)</t>
  </si>
  <si>
    <t>Volatility (Gold)</t>
  </si>
  <si>
    <t>Correlation Gold vs CHF</t>
  </si>
  <si>
    <t>R-Squared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</si>
</sst>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5">
    <xf numFmtId="0" fontId="0" fillId="0" borderId="0" xfId="0"/>
    <xf numFmtId="14" fontId="0" fillId="0" borderId="0" xfId="0" applyNumberFormat="1"/>
    <xf numFmtId="10" fontId="0" fillId="0" borderId="0" xfId="0" applyNumberFormat="1"/>
    <xf numFmtId="0" fontId="0" fillId="3" borderId="0" xfId="0" applyFill="1"/>
    <xf numFmtId="0" fontId="0" fillId="4" borderId="2" xfId="0" applyFill="1" applyBorder="1"/>
    <xf numFmtId="0" fontId="0" fillId="0" borderId="4" xfId="0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6" xfId="0" applyFill="1" applyBorder="1"/>
    <xf numFmtId="0" fontId="0" fillId="0" borderId="6" xfId="0" applyBorder="1"/>
    <xf numFmtId="0" fontId="0" fillId="5" borderId="7" xfId="0" applyFill="1" applyBorder="1"/>
    <xf numFmtId="0" fontId="0" fillId="0" borderId="8" xfId="0" applyBorder="1"/>
    <xf numFmtId="0" fontId="0" fillId="0" borderId="9" xfId="0" applyBorder="1"/>
    <xf numFmtId="0" fontId="0" fillId="6" borderId="5" xfId="0" applyFill="1" applyBorder="1"/>
    <xf numFmtId="0" fontId="0" fillId="6" borderId="0" xfId="0" applyFill="1"/>
    <xf numFmtId="0" fontId="0" fillId="6" borderId="3" xfId="0" applyFill="1" applyBorder="1"/>
    <xf numFmtId="0" fontId="0" fillId="6" borderId="6" xfId="0" applyFill="1" applyBorder="1"/>
    <xf numFmtId="0" fontId="0" fillId="6" borderId="10" xfId="0" applyFill="1" applyBorder="1"/>
    <xf numFmtId="0" fontId="0" fillId="6" borderId="4" xfId="0" applyFill="1" applyBorder="1"/>
    <xf numFmtId="0" fontId="0" fillId="7" borderId="6" xfId="0" applyFill="1" applyBorder="1"/>
    <xf numFmtId="0" fontId="0" fillId="7" borderId="7" xfId="0" applyFill="1" applyBorder="1"/>
    <xf numFmtId="0" fontId="1" fillId="3" borderId="1" xfId="1" applyFill="1"/>
    <xf numFmtId="0" fontId="2" fillId="0" borderId="0" xfId="0" applyFont="1"/>
    <xf numFmtId="164" fontId="0" fillId="0" borderId="0" xfId="0" applyNumberForma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Returns Relationship: Gold vs CHF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Ref>
              <c:f>Calculs!$D$3:$D$1258</c:f>
              <c:numCache>
                <c:formatCode>0.00%</c:formatCode>
                <c:ptCount val="1256"/>
                <c:pt idx="0">
                  <c:v>4.3300395050943456E-3</c:v>
                </c:pt>
                <c:pt idx="1">
                  <c:v>2.7699763494986331E-3</c:v>
                </c:pt>
                <c:pt idx="2">
                  <c:v>-1.4373179976945852E-3</c:v>
                </c:pt>
                <c:pt idx="3">
                  <c:v>1.3308847368819284E-3</c:v>
                </c:pt>
                <c:pt idx="4">
                  <c:v>5.9936260124601824E-3</c:v>
                </c:pt>
                <c:pt idx="5">
                  <c:v>1.1098944610659881E-3</c:v>
                </c:pt>
                <c:pt idx="6">
                  <c:v>2.6892014283005597E-2</c:v>
                </c:pt>
                <c:pt idx="7">
                  <c:v>4.1053068384807835E-3</c:v>
                </c:pt>
                <c:pt idx="8">
                  <c:v>-2.3734105597417361E-2</c:v>
                </c:pt>
                <c:pt idx="9">
                  <c:v>2.8278319590516131E-3</c:v>
                </c:pt>
                <c:pt idx="10">
                  <c:v>-4.1752846956852267E-2</c:v>
                </c:pt>
                <c:pt idx="11">
                  <c:v>8.4155016326218669E-3</c:v>
                </c:pt>
                <c:pt idx="12">
                  <c:v>-3.6289551927896312E-3</c:v>
                </c:pt>
                <c:pt idx="13">
                  <c:v>5.7892498613820609E-3</c:v>
                </c:pt>
                <c:pt idx="14">
                  <c:v>-1.7818664700342871E-3</c:v>
                </c:pt>
                <c:pt idx="15">
                  <c:v>-1.1414407787474065E-2</c:v>
                </c:pt>
                <c:pt idx="16">
                  <c:v>5.5603888553312541E-3</c:v>
                </c:pt>
                <c:pt idx="17">
                  <c:v>1.4249727942710165E-2</c:v>
                </c:pt>
                <c:pt idx="18">
                  <c:v>-3.2159925993311322E-4</c:v>
                </c:pt>
                <c:pt idx="19">
                  <c:v>-5.1599671898233754E-3</c:v>
                </c:pt>
                <c:pt idx="20">
                  <c:v>-4.3115764322087933E-4</c:v>
                </c:pt>
                <c:pt idx="21">
                  <c:v>-2.266879894457694E-3</c:v>
                </c:pt>
                <c:pt idx="22">
                  <c:v>-3.1388308031131281E-3</c:v>
                </c:pt>
                <c:pt idx="23">
                  <c:v>-3.8014599418898284E-3</c:v>
                </c:pt>
                <c:pt idx="24">
                  <c:v>5.1015112416478462E-3</c:v>
                </c:pt>
                <c:pt idx="25">
                  <c:v>7.2813890080445729E-3</c:v>
                </c:pt>
                <c:pt idx="26">
                  <c:v>-1.6417375444502631E-2</c:v>
                </c:pt>
                <c:pt idx="27">
                  <c:v>9.2825037081982324E-4</c:v>
                </c:pt>
                <c:pt idx="28">
                  <c:v>-2.3916484486413037E-2</c:v>
                </c:pt>
                <c:pt idx="29">
                  <c:v>1.2223053284327792E-2</c:v>
                </c:pt>
                <c:pt idx="30">
                  <c:v>1.1529720189568878E-2</c:v>
                </c:pt>
                <c:pt idx="31">
                  <c:v>1.8542895508146806E-3</c:v>
                </c:pt>
                <c:pt idx="32">
                  <c:v>2.8836096711605716E-3</c:v>
                </c:pt>
                <c:pt idx="33">
                  <c:v>-8.5663877674986583E-3</c:v>
                </c:pt>
                <c:pt idx="34">
                  <c:v>-1.8099820260786762E-3</c:v>
                </c:pt>
                <c:pt idx="35">
                  <c:v>-1.348535131998669E-2</c:v>
                </c:pt>
                <c:pt idx="36">
                  <c:v>-1.4629062349107949E-2</c:v>
                </c:pt>
                <c:pt idx="37">
                  <c:v>1.2978130348198413E-3</c:v>
                </c:pt>
                <c:pt idx="38">
                  <c:v>1.3524313819186311E-3</c:v>
                </c:pt>
                <c:pt idx="39">
                  <c:v>1.7250896659106188E-2</c:v>
                </c:pt>
                <c:pt idx="40">
                  <c:v>-1.2738096892075683E-3</c:v>
                </c:pt>
                <c:pt idx="41">
                  <c:v>-4.4434642604026936E-3</c:v>
                </c:pt>
                <c:pt idx="42">
                  <c:v>-1.2322324448977169E-2</c:v>
                </c:pt>
                <c:pt idx="43">
                  <c:v>-2.6439826422899711E-2</c:v>
                </c:pt>
                <c:pt idx="44">
                  <c:v>-3.2458010444414774E-3</c:v>
                </c:pt>
                <c:pt idx="45">
                  <c:v>6.1349744805834789E-3</c:v>
                </c:pt>
                <c:pt idx="46">
                  <c:v>-1.0323677486387741E-2</c:v>
                </c:pt>
                <c:pt idx="47">
                  <c:v>-8.8421584177990169E-3</c:v>
                </c:pt>
                <c:pt idx="48">
                  <c:v>-1.2947745929176705E-3</c:v>
                </c:pt>
                <c:pt idx="49">
                  <c:v>-1.2027309199143453E-2</c:v>
                </c:pt>
                <c:pt idx="50">
                  <c:v>2.2921797389633937E-2</c:v>
                </c:pt>
                <c:pt idx="51">
                  <c:v>2.8504277167953028E-3</c:v>
                </c:pt>
                <c:pt idx="52">
                  <c:v>4.6463141365605257E-4</c:v>
                </c:pt>
                <c:pt idx="53">
                  <c:v>-1.6270843199136934E-3</c:v>
                </c:pt>
                <c:pt idx="54">
                  <c:v>5.4518313595629479E-3</c:v>
                </c:pt>
                <c:pt idx="55">
                  <c:v>9.8277283347242197E-4</c:v>
                </c:pt>
                <c:pt idx="56">
                  <c:v>-2.1981421073807767E-3</c:v>
                </c:pt>
                <c:pt idx="57">
                  <c:v>3.122235750465632E-3</c:v>
                </c:pt>
                <c:pt idx="58">
                  <c:v>5.2971527058642155E-3</c:v>
                </c:pt>
                <c:pt idx="59">
                  <c:v>-2.0694279115334759E-3</c:v>
                </c:pt>
                <c:pt idx="60">
                  <c:v>-7.5668795165003246E-3</c:v>
                </c:pt>
                <c:pt idx="61">
                  <c:v>4.7432257484864076E-3</c:v>
                </c:pt>
                <c:pt idx="62">
                  <c:v>-4.6272278102745161E-3</c:v>
                </c:pt>
                <c:pt idx="63">
                  <c:v>4.2231567839576944E-3</c:v>
                </c:pt>
                <c:pt idx="64">
                  <c:v>-1.1671575757386563E-2</c:v>
                </c:pt>
                <c:pt idx="65">
                  <c:v>-1.6608126836268462E-2</c:v>
                </c:pt>
                <c:pt idx="66">
                  <c:v>1.7600609611377438E-2</c:v>
                </c:pt>
                <c:pt idx="67">
                  <c:v>7.3830821038836664E-3</c:v>
                </c:pt>
                <c:pt idx="68">
                  <c:v>2.8956131663167214E-4</c:v>
                </c:pt>
                <c:pt idx="69">
                  <c:v>8.3610116593772054E-3</c:v>
                </c:pt>
                <c:pt idx="70">
                  <c:v>-8.0424201478737796E-4</c:v>
                </c:pt>
                <c:pt idx="71">
                  <c:v>9.5514313177296126E-3</c:v>
                </c:pt>
                <c:pt idx="72">
                  <c:v>-7.7141033508086694E-3</c:v>
                </c:pt>
                <c:pt idx="73">
                  <c:v>-6.9651153108131235E-3</c:v>
                </c:pt>
                <c:pt idx="74">
                  <c:v>8.6271889668262814E-3</c:v>
                </c:pt>
                <c:pt idx="75">
                  <c:v>-6.4921815096036159E-3</c:v>
                </c:pt>
                <c:pt idx="76">
                  <c:v>1.7427518510729378E-2</c:v>
                </c:pt>
                <c:pt idx="77">
                  <c:v>7.6741012505068384E-3</c:v>
                </c:pt>
                <c:pt idx="78">
                  <c:v>-5.4108888186167351E-3</c:v>
                </c:pt>
                <c:pt idx="79">
                  <c:v>4.4548663919310094E-3</c:v>
                </c:pt>
                <c:pt idx="80">
                  <c:v>8.4043522416786792E-3</c:v>
                </c:pt>
                <c:pt idx="81">
                  <c:v>-6.2124714463313632E-3</c:v>
                </c:pt>
                <c:pt idx="82">
                  <c:v>-2.3607178798454131E-3</c:v>
                </c:pt>
                <c:pt idx="83">
                  <c:v>1.2372484577462129E-3</c:v>
                </c:pt>
                <c:pt idx="84">
                  <c:v>-6.7466053854779728E-4</c:v>
                </c:pt>
                <c:pt idx="85">
                  <c:v>-2.7033407396791602E-3</c:v>
                </c:pt>
                <c:pt idx="86">
                  <c:v>-2.8802864582050088E-3</c:v>
                </c:pt>
                <c:pt idx="87">
                  <c:v>-4.5252405155806857E-4</c:v>
                </c:pt>
                <c:pt idx="88">
                  <c:v>1.3544464845169118E-2</c:v>
                </c:pt>
                <c:pt idx="89">
                  <c:v>-8.7463975749406207E-3</c:v>
                </c:pt>
                <c:pt idx="90">
                  <c:v>4.6630196017758254E-3</c:v>
                </c:pt>
                <c:pt idx="91">
                  <c:v>1.7446839157978355E-2</c:v>
                </c:pt>
                <c:pt idx="92">
                  <c:v>8.5559539602740597E-3</c:v>
                </c:pt>
                <c:pt idx="93">
                  <c:v>3.4890862723269988E-3</c:v>
                </c:pt>
                <c:pt idx="94">
                  <c:v>-8.7111432268797094E-4</c:v>
                </c:pt>
                <c:pt idx="95">
                  <c:v>-7.270798097461572E-3</c:v>
                </c:pt>
                <c:pt idx="96">
                  <c:v>6.5822360546341995E-4</c:v>
                </c:pt>
                <c:pt idx="97">
                  <c:v>7.7013654827954798E-3</c:v>
                </c:pt>
                <c:pt idx="98">
                  <c:v>1.597700925187108E-2</c:v>
                </c:pt>
                <c:pt idx="99">
                  <c:v>1.6065581069687392E-4</c:v>
                </c:pt>
                <c:pt idx="100">
                  <c:v>7.2017593538749791E-3</c:v>
                </c:pt>
                <c:pt idx="101">
                  <c:v>2.6573834868414716E-4</c:v>
                </c:pt>
                <c:pt idx="102">
                  <c:v>-2.7139022410788334E-3</c:v>
                </c:pt>
                <c:pt idx="103">
                  <c:v>4.2006945389998773E-3</c:v>
                </c:pt>
                <c:pt idx="104">
                  <c:v>7.1377891404298434E-3</c:v>
                </c:pt>
                <c:pt idx="105">
                  <c:v>1.684515438402536E-3</c:v>
                </c:pt>
                <c:pt idx="106">
                  <c:v>-2.949750706768753E-3</c:v>
                </c:pt>
                <c:pt idx="107">
                  <c:v>3.5806730456278716E-3</c:v>
                </c:pt>
                <c:pt idx="108">
                  <c:v>2.1024040204428116E-4</c:v>
                </c:pt>
                <c:pt idx="109">
                  <c:v>2.4144330207268982E-3</c:v>
                </c:pt>
                <c:pt idx="110">
                  <c:v>-1.9213573983194728E-2</c:v>
                </c:pt>
                <c:pt idx="111">
                  <c:v>9.8911190108288208E-3</c:v>
                </c:pt>
                <c:pt idx="112">
                  <c:v>3.6972523073180667E-3</c:v>
                </c:pt>
                <c:pt idx="113">
                  <c:v>-2.428134028169905E-3</c:v>
                </c:pt>
                <c:pt idx="114">
                  <c:v>5.2834577537939648E-4</c:v>
                </c:pt>
                <c:pt idx="115">
                  <c:v>5.2806677352404028E-4</c:v>
                </c:pt>
                <c:pt idx="116">
                  <c:v>-8.9087061072183459E-3</c:v>
                </c:pt>
                <c:pt idx="117">
                  <c:v>-7.1631376615428777E-3</c:v>
                </c:pt>
                <c:pt idx="118">
                  <c:v>-5.1095983158909782E-3</c:v>
                </c:pt>
                <c:pt idx="119">
                  <c:v>2.6925164354793135E-3</c:v>
                </c:pt>
                <c:pt idx="120">
                  <c:v>-4.7183468895360209E-2</c:v>
                </c:pt>
                <c:pt idx="121">
                  <c:v>-3.3317501481472242E-3</c:v>
                </c:pt>
                <c:pt idx="122">
                  <c:v>7.8317013687450379E-3</c:v>
                </c:pt>
                <c:pt idx="123">
                  <c:v>-3.09153999585223E-3</c:v>
                </c:pt>
                <c:pt idx="124">
                  <c:v>3.3721157314263658E-3</c:v>
                </c:pt>
                <c:pt idx="125">
                  <c:v>-3.7663122158099844E-3</c:v>
                </c:pt>
                <c:pt idx="126">
                  <c:v>5.630313834598243E-4</c:v>
                </c:pt>
                <c:pt idx="127">
                  <c:v>1.6871946194519283E-3</c:v>
                </c:pt>
                <c:pt idx="128">
                  <c:v>-9.4851245460208285E-3</c:v>
                </c:pt>
                <c:pt idx="129">
                  <c:v>4.5279677650164824E-3</c:v>
                </c:pt>
                <c:pt idx="130">
                  <c:v>2.8759009759461445E-3</c:v>
                </c:pt>
                <c:pt idx="131">
                  <c:v>3.7656085928761485E-3</c:v>
                </c:pt>
                <c:pt idx="132">
                  <c:v>6.0960589714808182E-3</c:v>
                </c:pt>
                <c:pt idx="133">
                  <c:v>4.4506332158106765E-3</c:v>
                </c:pt>
                <c:pt idx="134">
                  <c:v>-1.0552467875135981E-3</c:v>
                </c:pt>
                <c:pt idx="135">
                  <c:v>5.7624408592370311E-3</c:v>
                </c:pt>
                <c:pt idx="136">
                  <c:v>-2.4892835423589803E-3</c:v>
                </c:pt>
                <c:pt idx="137">
                  <c:v>2.1577503670339305E-3</c:v>
                </c:pt>
                <c:pt idx="138">
                  <c:v>8.2010664750303344E-3</c:v>
                </c:pt>
                <c:pt idx="139">
                  <c:v>2.2449022507048935E-3</c:v>
                </c:pt>
                <c:pt idx="140">
                  <c:v>-7.6313331571564811E-3</c:v>
                </c:pt>
                <c:pt idx="141">
                  <c:v>-3.2016194859100151E-3</c:v>
                </c:pt>
                <c:pt idx="142">
                  <c:v>1.2156445618103438E-3</c:v>
                </c:pt>
                <c:pt idx="143">
                  <c:v>-4.4274796393197775E-3</c:v>
                </c:pt>
                <c:pt idx="144">
                  <c:v>1.1640986772757504E-3</c:v>
                </c:pt>
                <c:pt idx="145">
                  <c:v>-1.9964378645119601E-3</c:v>
                </c:pt>
                <c:pt idx="146">
                  <c:v>-1.4999993148864131E-3</c:v>
                </c:pt>
                <c:pt idx="147">
                  <c:v>4.4469393150253208E-4</c:v>
                </c:pt>
                <c:pt idx="148">
                  <c:v>0</c:v>
                </c:pt>
                <c:pt idx="149">
                  <c:v>1.7462614454720644E-2</c:v>
                </c:pt>
                <c:pt idx="150">
                  <c:v>-1.0209197822209233E-2</c:v>
                </c:pt>
                <c:pt idx="151">
                  <c:v>3.0297211452917027E-3</c:v>
                </c:pt>
                <c:pt idx="152">
                  <c:v>-4.4099074320683761E-3</c:v>
                </c:pt>
                <c:pt idx="153">
                  <c:v>2.2097134087597074E-4</c:v>
                </c:pt>
                <c:pt idx="154">
                  <c:v>-2.9870718363273446E-3</c:v>
                </c:pt>
                <c:pt idx="155">
                  <c:v>-2.5302169337171061E-2</c:v>
                </c:pt>
                <c:pt idx="156">
                  <c:v>-2.1014711060311712E-2</c:v>
                </c:pt>
                <c:pt idx="157">
                  <c:v>3.1284564647309984E-3</c:v>
                </c:pt>
                <c:pt idx="158">
                  <c:v>1.2416792738750166E-2</c:v>
                </c:pt>
                <c:pt idx="159">
                  <c:v>-8.0015115676472927E-4</c:v>
                </c:pt>
                <c:pt idx="160">
                  <c:v>1.4868869094078072E-2</c:v>
                </c:pt>
                <c:pt idx="161">
                  <c:v>6.5692234347381586E-3</c:v>
                </c:pt>
                <c:pt idx="162">
                  <c:v>-1.0638733336789578E-3</c:v>
                </c:pt>
                <c:pt idx="163">
                  <c:v>-1.9065919740294643E-3</c:v>
                </c:pt>
                <c:pt idx="164">
                  <c:v>-7.8613314332833992E-4</c:v>
                </c:pt>
                <c:pt idx="165">
                  <c:v>4.4931419328005123E-4</c:v>
                </c:pt>
                <c:pt idx="166">
                  <c:v>1.2387832917253414E-2</c:v>
                </c:pt>
                <c:pt idx="167">
                  <c:v>1.3300957751090471E-3</c:v>
                </c:pt>
                <c:pt idx="168">
                  <c:v>-9.6834329865471396E-3</c:v>
                </c:pt>
                <c:pt idx="169">
                  <c:v>2.2343882098449877E-3</c:v>
                </c:pt>
                <c:pt idx="170">
                  <c:v>1.3522720423364637E-2</c:v>
                </c:pt>
                <c:pt idx="171">
                  <c:v>-4.1924022333912287E-3</c:v>
                </c:pt>
                <c:pt idx="172">
                  <c:v>3.3112613036560051E-3</c:v>
                </c:pt>
                <c:pt idx="173">
                  <c:v>-1.0473937325582944E-3</c:v>
                </c:pt>
                <c:pt idx="174">
                  <c:v>-2.4297457991779466E-3</c:v>
                </c:pt>
                <c:pt idx="175">
                  <c:v>1.2199334385803619E-2</c:v>
                </c:pt>
                <c:pt idx="176">
                  <c:v>-1.9301359933995132E-2</c:v>
                </c:pt>
                <c:pt idx="177">
                  <c:v>-2.8997250439288581E-3</c:v>
                </c:pt>
                <c:pt idx="178">
                  <c:v>3.7346122321662177E-3</c:v>
                </c:pt>
                <c:pt idx="179">
                  <c:v>-4.3490722735307699E-3</c:v>
                </c:pt>
                <c:pt idx="180">
                  <c:v>1.3401970011455836E-3</c:v>
                </c:pt>
                <c:pt idx="181">
                  <c:v>7.0620313762865556E-3</c:v>
                </c:pt>
                <c:pt idx="182">
                  <c:v>-6.8388283782960125E-3</c:v>
                </c:pt>
                <c:pt idx="183">
                  <c:v>-2.1314620752901005E-2</c:v>
                </c:pt>
                <c:pt idx="184">
                  <c:v>-2.9680108385332772E-3</c:v>
                </c:pt>
                <c:pt idx="185">
                  <c:v>7.063155449170932E-3</c:v>
                </c:pt>
                <c:pt idx="186">
                  <c:v>8.0276031615123065E-3</c:v>
                </c:pt>
                <c:pt idx="187">
                  <c:v>3.9403900726307041E-4</c:v>
                </c:pt>
                <c:pt idx="188">
                  <c:v>-1.6457073725568219E-2</c:v>
                </c:pt>
                <c:pt idx="189">
                  <c:v>1.1437069101939464E-3</c:v>
                </c:pt>
                <c:pt idx="190">
                  <c:v>1.7147117355570008E-4</c:v>
                </c:pt>
                <c:pt idx="191">
                  <c:v>-8.1473575773747878E-3</c:v>
                </c:pt>
                <c:pt idx="192">
                  <c:v>-8.2724265616064933E-3</c:v>
                </c:pt>
                <c:pt idx="193">
                  <c:v>1.9443806501259531E-2</c:v>
                </c:pt>
                <c:pt idx="194">
                  <c:v>9.6799890725909107E-4</c:v>
                </c:pt>
                <c:pt idx="195">
                  <c:v>5.2225092017402107E-3</c:v>
                </c:pt>
                <c:pt idx="196">
                  <c:v>-3.7438217890526193E-3</c:v>
                </c:pt>
                <c:pt idx="197">
                  <c:v>5.1136299532230712E-4</c:v>
                </c:pt>
                <c:pt idx="198">
                  <c:v>-1.477930901064451E-3</c:v>
                </c:pt>
                <c:pt idx="199">
                  <c:v>-9.1057746465363759E-4</c:v>
                </c:pt>
                <c:pt idx="200">
                  <c:v>-9.68454449423833E-4</c:v>
                </c:pt>
                <c:pt idx="201">
                  <c:v>2.10656414060376E-3</c:v>
                </c:pt>
                <c:pt idx="202">
                  <c:v>1.9933037412385866E-2</c:v>
                </c:pt>
                <c:pt idx="203">
                  <c:v>1.6711234290114187E-3</c:v>
                </c:pt>
                <c:pt idx="204">
                  <c:v>-1.6555276286279279E-2</c:v>
                </c:pt>
                <c:pt idx="205">
                  <c:v>-1.358948308654003E-3</c:v>
                </c:pt>
                <c:pt idx="206">
                  <c:v>2.7726159189181846E-3</c:v>
                </c:pt>
                <c:pt idx="207">
                  <c:v>8.1040596104608609E-3</c:v>
                </c:pt>
                <c:pt idx="208">
                  <c:v>-1.6268056619152453E-3</c:v>
                </c:pt>
                <c:pt idx="209">
                  <c:v>7.9962676316408798E-3</c:v>
                </c:pt>
                <c:pt idx="210">
                  <c:v>5.8309203107931437E-3</c:v>
                </c:pt>
                <c:pt idx="211">
                  <c:v>-7.3916189533362806E-3</c:v>
                </c:pt>
                <c:pt idx="212">
                  <c:v>2.8964946878651475E-3</c:v>
                </c:pt>
                <c:pt idx="213">
                  <c:v>2.0558146825891866E-3</c:v>
                </c:pt>
                <c:pt idx="214">
                  <c:v>-1.03778065309083E-2</c:v>
                </c:pt>
                <c:pt idx="215">
                  <c:v>6.763378213492534E-3</c:v>
                </c:pt>
                <c:pt idx="216">
                  <c:v>-3.5716453755408732E-3</c:v>
                </c:pt>
                <c:pt idx="217">
                  <c:v>-1.4131911060620329E-2</c:v>
                </c:pt>
                <c:pt idx="218">
                  <c:v>1.6533033964660989E-2</c:v>
                </c:pt>
                <c:pt idx="219">
                  <c:v>1.2966339059569584E-2</c:v>
                </c:pt>
                <c:pt idx="220">
                  <c:v>6.0376712598167494E-3</c:v>
                </c:pt>
                <c:pt idx="221">
                  <c:v>1.5310188776383894E-3</c:v>
                </c:pt>
                <c:pt idx="222">
                  <c:v>9.4622625403595426E-3</c:v>
                </c:pt>
                <c:pt idx="223">
                  <c:v>8.4079270210200598E-3</c:v>
                </c:pt>
                <c:pt idx="224">
                  <c:v>2.519404872046127E-3</c:v>
                </c:pt>
                <c:pt idx="225">
                  <c:v>-9.6413977909137923E-4</c:v>
                </c:pt>
                <c:pt idx="226">
                  <c:v>-6.7209975094860578E-3</c:v>
                </c:pt>
                <c:pt idx="227">
                  <c:v>8.6482831087354786E-3</c:v>
                </c:pt>
                <c:pt idx="228">
                  <c:v>-4.6639864134909483E-3</c:v>
                </c:pt>
                <c:pt idx="229">
                  <c:v>-5.2799265793109663E-3</c:v>
                </c:pt>
                <c:pt idx="230">
                  <c:v>-2.471959608600904E-2</c:v>
                </c:pt>
                <c:pt idx="231">
                  <c:v>-1.2536729177984571E-2</c:v>
                </c:pt>
                <c:pt idx="232">
                  <c:v>3.3634689746586568E-4</c:v>
                </c:pt>
                <c:pt idx="233">
                  <c:v>6.724229725988722E-4</c:v>
                </c:pt>
                <c:pt idx="234">
                  <c:v>-1.6818032430744501E-3</c:v>
                </c:pt>
                <c:pt idx="235">
                  <c:v>-4.8933268890934195E-3</c:v>
                </c:pt>
                <c:pt idx="236">
                  <c:v>4.5004577028668804E-3</c:v>
                </c:pt>
                <c:pt idx="237">
                  <c:v>-1.1800393739534874E-2</c:v>
                </c:pt>
                <c:pt idx="238">
                  <c:v>1.2024899530579426E-2</c:v>
                </c:pt>
                <c:pt idx="239">
                  <c:v>-2.5284463533586377E-3</c:v>
                </c:pt>
                <c:pt idx="240">
                  <c:v>2.8650763234604835E-3</c:v>
                </c:pt>
                <c:pt idx="241">
                  <c:v>4.4870938953922769E-4</c:v>
                </c:pt>
                <c:pt idx="242">
                  <c:v>-4.9466367466601191E-3</c:v>
                </c:pt>
                <c:pt idx="243">
                  <c:v>4.6662340904448044E-3</c:v>
                </c:pt>
                <c:pt idx="244">
                  <c:v>1.905203055442121E-3</c:v>
                </c:pt>
                <c:pt idx="245">
                  <c:v>-8.9409452626436417E-3</c:v>
                </c:pt>
                <c:pt idx="246">
                  <c:v>-4.41554571258348E-3</c:v>
                </c:pt>
                <c:pt idx="247">
                  <c:v>1.9105998391674383E-2</c:v>
                </c:pt>
                <c:pt idx="248">
                  <c:v>3.9996015951266157E-3</c:v>
                </c:pt>
                <c:pt idx="249">
                  <c:v>-5.6150794682417494E-3</c:v>
                </c:pt>
                <c:pt idx="250">
                  <c:v>-3.2387379200195265E-3</c:v>
                </c:pt>
                <c:pt idx="251">
                  <c:v>7.6333849811133433E-3</c:v>
                </c:pt>
                <c:pt idx="252">
                  <c:v>5.3144366558234811E-3</c:v>
                </c:pt>
                <c:pt idx="253">
                  <c:v>-1.713025395370446E-3</c:v>
                </c:pt>
                <c:pt idx="254">
                  <c:v>1.1607527646842581E-3</c:v>
                </c:pt>
                <c:pt idx="255">
                  <c:v>-2.8213310498173137E-3</c:v>
                </c:pt>
                <c:pt idx="256">
                  <c:v>4.2014411628216366E-3</c:v>
                </c:pt>
                <c:pt idx="257">
                  <c:v>8.1314930917433803E-3</c:v>
                </c:pt>
                <c:pt idx="258">
                  <c:v>-1.5495623073024625E-2</c:v>
                </c:pt>
                <c:pt idx="259">
                  <c:v>8.0810621241728595E-3</c:v>
                </c:pt>
                <c:pt idx="260">
                  <c:v>5.8264198557907406E-3</c:v>
                </c:pt>
                <c:pt idx="261">
                  <c:v>-1.9871699829780518E-2</c:v>
                </c:pt>
                <c:pt idx="262">
                  <c:v>4.6295360824668225E-3</c:v>
                </c:pt>
                <c:pt idx="263">
                  <c:v>7.7878649124794494E-4</c:v>
                </c:pt>
                <c:pt idx="264">
                  <c:v>1.1169566592358682E-2</c:v>
                </c:pt>
                <c:pt idx="265">
                  <c:v>4.7177528716020869E-3</c:v>
                </c:pt>
                <c:pt idx="266">
                  <c:v>-3.2891160891035777E-3</c:v>
                </c:pt>
                <c:pt idx="267">
                  <c:v>-2.5840249884074937E-3</c:v>
                </c:pt>
                <c:pt idx="268">
                  <c:v>-2.3147889058235732E-3</c:v>
                </c:pt>
                <c:pt idx="269">
                  <c:v>1.6852139555948643E-2</c:v>
                </c:pt>
                <c:pt idx="270">
                  <c:v>-3.2557824789001627E-4</c:v>
                </c:pt>
                <c:pt idx="271">
                  <c:v>-5.8242284387881402E-3</c:v>
                </c:pt>
                <c:pt idx="272">
                  <c:v>5.3899149643273853E-3</c:v>
                </c:pt>
                <c:pt idx="273">
                  <c:v>5.9549766118189669E-3</c:v>
                </c:pt>
                <c:pt idx="274">
                  <c:v>-1.238267432546163E-2</c:v>
                </c:pt>
                <c:pt idx="275">
                  <c:v>-2.0203808692925051E-2</c:v>
                </c:pt>
                <c:pt idx="276">
                  <c:v>-4.6951202688890054E-3</c:v>
                </c:pt>
                <c:pt idx="277">
                  <c:v>5.6426170088050252E-3</c:v>
                </c:pt>
                <c:pt idx="278">
                  <c:v>2.9483228634129628E-3</c:v>
                </c:pt>
                <c:pt idx="279">
                  <c:v>4.9313868291021275E-3</c:v>
                </c:pt>
                <c:pt idx="280">
                  <c:v>-3.4327874115770577E-3</c:v>
                </c:pt>
                <c:pt idx="281">
                  <c:v>1.9946679986083213E-3</c:v>
                </c:pt>
                <c:pt idx="282">
                  <c:v>7.7194914593634936E-3</c:v>
                </c:pt>
                <c:pt idx="283">
                  <c:v>3.290198230438897E-3</c:v>
                </c:pt>
                <c:pt idx="284">
                  <c:v>4.697138876945367E-3</c:v>
                </c:pt>
                <c:pt idx="285">
                  <c:v>5.4475134898338722E-4</c:v>
                </c:pt>
                <c:pt idx="286">
                  <c:v>2.502094128990784E-3</c:v>
                </c:pt>
                <c:pt idx="287">
                  <c:v>1.4668053542140463E-2</c:v>
                </c:pt>
                <c:pt idx="288">
                  <c:v>-7.0914399462048017E-3</c:v>
                </c:pt>
                <c:pt idx="289">
                  <c:v>8.2684510502585538E-3</c:v>
                </c:pt>
                <c:pt idx="290">
                  <c:v>1.6176862774401283E-2</c:v>
                </c:pt>
                <c:pt idx="291">
                  <c:v>-1.1054540785265011E-3</c:v>
                </c:pt>
                <c:pt idx="292">
                  <c:v>3.9424973379259039E-3</c:v>
                </c:pt>
                <c:pt idx="293">
                  <c:v>1.6250236299235957E-3</c:v>
                </c:pt>
                <c:pt idx="294">
                  <c:v>8.2936211860425418E-3</c:v>
                </c:pt>
                <c:pt idx="295">
                  <c:v>-2.0254641338243038E-2</c:v>
                </c:pt>
                <c:pt idx="296">
                  <c:v>6.8147992580523927E-3</c:v>
                </c:pt>
                <c:pt idx="297">
                  <c:v>2.2386274771780384E-2</c:v>
                </c:pt>
                <c:pt idx="298">
                  <c:v>-1.1130495531632012E-2</c:v>
                </c:pt>
                <c:pt idx="299">
                  <c:v>7.0033745789622242E-3</c:v>
                </c:pt>
                <c:pt idx="300">
                  <c:v>1.5745908688366235E-2</c:v>
                </c:pt>
                <c:pt idx="301">
                  <c:v>1.4549409887335826E-2</c:v>
                </c:pt>
                <c:pt idx="302">
                  <c:v>2.2906282220362194E-2</c:v>
                </c:pt>
                <c:pt idx="303">
                  <c:v>-2.6926590113771603E-2</c:v>
                </c:pt>
                <c:pt idx="304">
                  <c:v>6.1244926236270801E-3</c:v>
                </c:pt>
                <c:pt idx="305">
                  <c:v>-7.7371892700182146E-3</c:v>
                </c:pt>
                <c:pt idx="306">
                  <c:v>-1.1719169211706966E-2</c:v>
                </c:pt>
                <c:pt idx="307">
                  <c:v>-1.5997859657440227E-2</c:v>
                </c:pt>
                <c:pt idx="308">
                  <c:v>-1.0686925640050688E-2</c:v>
                </c:pt>
                <c:pt idx="309">
                  <c:v>1.7714276252213116E-2</c:v>
                </c:pt>
                <c:pt idx="310">
                  <c:v>-7.1829493533294873E-3</c:v>
                </c:pt>
                <c:pt idx="311">
                  <c:v>2.0743851021229863E-4</c:v>
                </c:pt>
                <c:pt idx="312">
                  <c:v>-4.1046609285687119E-3</c:v>
                </c:pt>
                <c:pt idx="313">
                  <c:v>8.2441680820088629E-3</c:v>
                </c:pt>
                <c:pt idx="314">
                  <c:v>1.2826608725129677E-2</c:v>
                </c:pt>
                <c:pt idx="315">
                  <c:v>-3.9842350856929614E-3</c:v>
                </c:pt>
                <c:pt idx="316">
                  <c:v>-7.294465566171339E-3</c:v>
                </c:pt>
                <c:pt idx="317">
                  <c:v>-1.4331939032686957E-2</c:v>
                </c:pt>
                <c:pt idx="318">
                  <c:v>1.1182017436005276E-2</c:v>
                </c:pt>
                <c:pt idx="319">
                  <c:v>8.0871748716578509E-3</c:v>
                </c:pt>
                <c:pt idx="320">
                  <c:v>-1.5562693516428947E-2</c:v>
                </c:pt>
                <c:pt idx="321">
                  <c:v>5.2490704821979012E-3</c:v>
                </c:pt>
                <c:pt idx="322">
                  <c:v>-3.270908031756635E-3</c:v>
                </c:pt>
                <c:pt idx="323">
                  <c:v>-2.3429578535094993E-3</c:v>
                </c:pt>
                <c:pt idx="324">
                  <c:v>7.9954862997662409E-3</c:v>
                </c:pt>
                <c:pt idx="325">
                  <c:v>4.0253585389149931E-3</c:v>
                </c:pt>
                <c:pt idx="326">
                  <c:v>1.3896773770587837E-3</c:v>
                </c:pt>
                <c:pt idx="327">
                  <c:v>1.4196912221042413E-2</c:v>
                </c:pt>
                <c:pt idx="328">
                  <c:v>4.5028152622562474E-3</c:v>
                </c:pt>
                <c:pt idx="329">
                  <c:v>-5.1114641128363805E-3</c:v>
                </c:pt>
                <c:pt idx="330">
                  <c:v>6.0701283313464912E-3</c:v>
                </c:pt>
                <c:pt idx="331">
                  <c:v>-1.3812271285541397E-2</c:v>
                </c:pt>
                <c:pt idx="332">
                  <c:v>-1.7399709321988879E-3</c:v>
                </c:pt>
                <c:pt idx="333">
                  <c:v>-3.7976152973985644E-3</c:v>
                </c:pt>
                <c:pt idx="334">
                  <c:v>-7.1725709734077273E-3</c:v>
                </c:pt>
                <c:pt idx="335">
                  <c:v>-1.9769510187740744E-2</c:v>
                </c:pt>
                <c:pt idx="336">
                  <c:v>4.3219765242018485E-3</c:v>
                </c:pt>
                <c:pt idx="337">
                  <c:v>-8.185296301079753E-3</c:v>
                </c:pt>
                <c:pt idx="338">
                  <c:v>1.4835623851351678E-3</c:v>
                </c:pt>
                <c:pt idx="339">
                  <c:v>1.0847972444223454E-2</c:v>
                </c:pt>
                <c:pt idx="340">
                  <c:v>-2.5192920384565429E-2</c:v>
                </c:pt>
                <c:pt idx="341">
                  <c:v>3.7527518532821575E-3</c:v>
                </c:pt>
                <c:pt idx="342">
                  <c:v>-9.6367522024839861E-4</c:v>
                </c:pt>
                <c:pt idx="343">
                  <c:v>3.7423192566449679E-3</c:v>
                </c:pt>
                <c:pt idx="344">
                  <c:v>3.8346613166858161E-3</c:v>
                </c:pt>
                <c:pt idx="345">
                  <c:v>-1.2893727062383077E-2</c:v>
                </c:pt>
                <c:pt idx="346">
                  <c:v>-9.3048824833891798E-3</c:v>
                </c:pt>
                <c:pt idx="347">
                  <c:v>6.8788090723762392E-3</c:v>
                </c:pt>
                <c:pt idx="348">
                  <c:v>-1.5667781369351496E-2</c:v>
                </c:pt>
                <c:pt idx="349">
                  <c:v>-9.0329012966146368E-3</c:v>
                </c:pt>
                <c:pt idx="350">
                  <c:v>3.369317747265814E-3</c:v>
                </c:pt>
                <c:pt idx="351">
                  <c:v>2.5882941096002548E-3</c:v>
                </c:pt>
                <c:pt idx="352">
                  <c:v>-1.2657478221988101E-3</c:v>
                </c:pt>
                <c:pt idx="353">
                  <c:v>1.3836280412998598E-2</c:v>
                </c:pt>
                <c:pt idx="354">
                  <c:v>3.2587437499885286E-4</c:v>
                </c:pt>
                <c:pt idx="355">
                  <c:v>3.2523878632937969E-3</c:v>
                </c:pt>
                <c:pt idx="356">
                  <c:v>9.3188891918034658E-3</c:v>
                </c:pt>
                <c:pt idx="357">
                  <c:v>-1.0185211745308859E-2</c:v>
                </c:pt>
                <c:pt idx="358">
                  <c:v>6.498122657287857E-4</c:v>
                </c:pt>
                <c:pt idx="359">
                  <c:v>2.1088629963046065E-3</c:v>
                </c:pt>
                <c:pt idx="360">
                  <c:v>-4.656260527504244E-3</c:v>
                </c:pt>
                <c:pt idx="361">
                  <c:v>3.2560914897010034E-4</c:v>
                </c:pt>
                <c:pt idx="362">
                  <c:v>1.2507549362994801E-2</c:v>
                </c:pt>
                <c:pt idx="363">
                  <c:v>-1.1368949980497233E-2</c:v>
                </c:pt>
                <c:pt idx="364">
                  <c:v>-3.365401473737211E-3</c:v>
                </c:pt>
                <c:pt idx="365">
                  <c:v>4.5027059219527876E-3</c:v>
                </c:pt>
                <c:pt idx="366">
                  <c:v>2.3787784288539122E-3</c:v>
                </c:pt>
                <c:pt idx="367">
                  <c:v>-1.6753458803278061E-3</c:v>
                </c:pt>
                <c:pt idx="368">
                  <c:v>1.2203441973600668E-2</c:v>
                </c:pt>
                <c:pt idx="369">
                  <c:v>-2.3517775330388339E-2</c:v>
                </c:pt>
                <c:pt idx="370">
                  <c:v>-1.0171909010298149E-2</c:v>
                </c:pt>
                <c:pt idx="371">
                  <c:v>3.2002061906902602E-3</c:v>
                </c:pt>
                <c:pt idx="372">
                  <c:v>1.6607812663686532E-2</c:v>
                </c:pt>
                <c:pt idx="373">
                  <c:v>-5.4871926378129796E-3</c:v>
                </c:pt>
                <c:pt idx="374">
                  <c:v>-5.4492945237295516E-4</c:v>
                </c:pt>
                <c:pt idx="375">
                  <c:v>-1.6349682819632593E-4</c:v>
                </c:pt>
                <c:pt idx="376">
                  <c:v>-4.6995155652061176E-3</c:v>
                </c:pt>
                <c:pt idx="377">
                  <c:v>4.3811886075170113E-4</c:v>
                </c:pt>
                <c:pt idx="378">
                  <c:v>-3.0706694898497379E-3</c:v>
                </c:pt>
                <c:pt idx="379">
                  <c:v>-1.8689673378129851E-3</c:v>
                </c:pt>
                <c:pt idx="380">
                  <c:v>-2.0929997061282998E-3</c:v>
                </c:pt>
                <c:pt idx="381">
                  <c:v>-5.3070917753328907E-3</c:v>
                </c:pt>
                <c:pt idx="382">
                  <c:v>-2.8864583859110646E-3</c:v>
                </c:pt>
                <c:pt idx="383">
                  <c:v>-2.0839339149699231E-2</c:v>
                </c:pt>
                <c:pt idx="384">
                  <c:v>-1.5386252486003978E-2</c:v>
                </c:pt>
                <c:pt idx="385">
                  <c:v>1.7277129141139384E-3</c:v>
                </c:pt>
                <c:pt idx="386">
                  <c:v>1.5523655104664287E-3</c:v>
                </c:pt>
                <c:pt idx="387">
                  <c:v>-6.1084588373548371E-3</c:v>
                </c:pt>
                <c:pt idx="388">
                  <c:v>-3.880322870210738E-3</c:v>
                </c:pt>
                <c:pt idx="389">
                  <c:v>6.3050981654516405E-3</c:v>
                </c:pt>
                <c:pt idx="390">
                  <c:v>-1.7274371209107783E-2</c:v>
                </c:pt>
                <c:pt idx="391">
                  <c:v>-1.2327780896654707E-3</c:v>
                </c:pt>
                <c:pt idx="392">
                  <c:v>3.9863617137530982E-3</c:v>
                </c:pt>
                <c:pt idx="393">
                  <c:v>4.6797429466019519E-4</c:v>
                </c:pt>
                <c:pt idx="394">
                  <c:v>-6.159280360534849E-3</c:v>
                </c:pt>
                <c:pt idx="395">
                  <c:v>7.736953992708003E-3</c:v>
                </c:pt>
                <c:pt idx="396">
                  <c:v>8.3726430851239868E-3</c:v>
                </c:pt>
                <c:pt idx="397">
                  <c:v>-4.7009608311534817E-3</c:v>
                </c:pt>
                <c:pt idx="398">
                  <c:v>-7.5656816632680899E-4</c:v>
                </c:pt>
                <c:pt idx="399">
                  <c:v>8.1472562927188393E-4</c:v>
                </c:pt>
                <c:pt idx="400">
                  <c:v>1.7986345847998488E-2</c:v>
                </c:pt>
                <c:pt idx="401">
                  <c:v>7.1729644467121373E-3</c:v>
                </c:pt>
                <c:pt idx="402">
                  <c:v>3.454221019280375E-3</c:v>
                </c:pt>
                <c:pt idx="403">
                  <c:v>1.186393518112395E-3</c:v>
                </c:pt>
                <c:pt idx="404">
                  <c:v>-7.4240094327752458E-3</c:v>
                </c:pt>
                <c:pt idx="405">
                  <c:v>1.7200480453950031E-2</c:v>
                </c:pt>
                <c:pt idx="406">
                  <c:v>-8.760642024044224E-3</c:v>
                </c:pt>
                <c:pt idx="407">
                  <c:v>7.8097001300701154E-3</c:v>
                </c:pt>
                <c:pt idx="408">
                  <c:v>4.0214258136430751E-3</c:v>
                </c:pt>
                <c:pt idx="409">
                  <c:v>8.9145069243134155E-4</c:v>
                </c:pt>
                <c:pt idx="410">
                  <c:v>-3.291233570665182E-3</c:v>
                </c:pt>
                <c:pt idx="411">
                  <c:v>4.9605901659817552E-3</c:v>
                </c:pt>
                <c:pt idx="412">
                  <c:v>-9.6089852037341862E-3</c:v>
                </c:pt>
                <c:pt idx="413">
                  <c:v>-4.6137893685845414E-3</c:v>
                </c:pt>
                <c:pt idx="414">
                  <c:v>-7.3015195437198168E-3</c:v>
                </c:pt>
                <c:pt idx="415">
                  <c:v>-2.8444665106128978E-3</c:v>
                </c:pt>
                <c:pt idx="416">
                  <c:v>-4.3964061726091304E-3</c:v>
                </c:pt>
                <c:pt idx="417">
                  <c:v>-7.8125257667417299E-3</c:v>
                </c:pt>
                <c:pt idx="418">
                  <c:v>7.3546922238179342E-3</c:v>
                </c:pt>
                <c:pt idx="419">
                  <c:v>5.7231156604490056E-4</c:v>
                </c:pt>
                <c:pt idx="420">
                  <c:v>5.6482263089466384E-3</c:v>
                </c:pt>
                <c:pt idx="421">
                  <c:v>-1.2364904253983925E-2</c:v>
                </c:pt>
                <c:pt idx="422">
                  <c:v>2.8796038269078751E-4</c:v>
                </c:pt>
                <c:pt idx="423">
                  <c:v>-7.746165501607033E-3</c:v>
                </c:pt>
                <c:pt idx="424">
                  <c:v>-6.0535122831442351E-3</c:v>
                </c:pt>
                <c:pt idx="425">
                  <c:v>-9.5032527996111969E-3</c:v>
                </c:pt>
                <c:pt idx="426">
                  <c:v>7.7501991662910705E-3</c:v>
                </c:pt>
                <c:pt idx="427">
                  <c:v>-5.5129013074622065E-3</c:v>
                </c:pt>
                <c:pt idx="428">
                  <c:v>8.7244890395395108E-3</c:v>
                </c:pt>
                <c:pt idx="429">
                  <c:v>-4.2649255334941934E-3</c:v>
                </c:pt>
                <c:pt idx="430">
                  <c:v>4.7894205732026988E-3</c:v>
                </c:pt>
                <c:pt idx="431">
                  <c:v>6.9100090105372255E-3</c:v>
                </c:pt>
                <c:pt idx="432">
                  <c:v>-1.3457414214637989E-2</c:v>
                </c:pt>
                <c:pt idx="433">
                  <c:v>-4.9978054933323456E-3</c:v>
                </c:pt>
                <c:pt idx="434">
                  <c:v>-1.8501955762987212E-2</c:v>
                </c:pt>
                <c:pt idx="435">
                  <c:v>3.7756940386221289E-3</c:v>
                </c:pt>
                <c:pt idx="436">
                  <c:v>-3.2954882641918711E-3</c:v>
                </c:pt>
                <c:pt idx="437">
                  <c:v>-3.9087215289053045E-3</c:v>
                </c:pt>
                <c:pt idx="438">
                  <c:v>2.948005938547933E-3</c:v>
                </c:pt>
                <c:pt idx="439">
                  <c:v>3.7177432020477504E-3</c:v>
                </c:pt>
                <c:pt idx="440">
                  <c:v>-1.5379814777475905E-2</c:v>
                </c:pt>
                <c:pt idx="441">
                  <c:v>-1.3461623673598822E-2</c:v>
                </c:pt>
                <c:pt idx="442">
                  <c:v>2.0922483593887654E-3</c:v>
                </c:pt>
                <c:pt idx="443">
                  <c:v>2.0505159126874725E-2</c:v>
                </c:pt>
                <c:pt idx="444">
                  <c:v>-1.1449724954999327E-3</c:v>
                </c:pt>
                <c:pt idx="445">
                  <c:v>2.348776643889567E-3</c:v>
                </c:pt>
                <c:pt idx="446">
                  <c:v>1.8180693033651461E-2</c:v>
                </c:pt>
                <c:pt idx="447">
                  <c:v>1.6520558026136455E-2</c:v>
                </c:pt>
                <c:pt idx="448">
                  <c:v>-5.6518438412799738E-3</c:v>
                </c:pt>
                <c:pt idx="449">
                  <c:v>1.7523692601385205E-4</c:v>
                </c:pt>
                <c:pt idx="450">
                  <c:v>-6.5646747282682022E-3</c:v>
                </c:pt>
                <c:pt idx="451">
                  <c:v>-1.9716744595091009E-2</c:v>
                </c:pt>
                <c:pt idx="452">
                  <c:v>6.8140743893408389E-3</c:v>
                </c:pt>
                <c:pt idx="453">
                  <c:v>-5.0163750124518312E-3</c:v>
                </c:pt>
                <c:pt idx="454">
                  <c:v>-1.7965381824740632E-4</c:v>
                </c:pt>
                <c:pt idx="455">
                  <c:v>-1.7091365852745091E-2</c:v>
                </c:pt>
                <c:pt idx="456">
                  <c:v>9.2764778685072626E-3</c:v>
                </c:pt>
                <c:pt idx="457">
                  <c:v>-4.8396948669639671E-3</c:v>
                </c:pt>
                <c:pt idx="458">
                  <c:v>-1.3123948476874548E-2</c:v>
                </c:pt>
                <c:pt idx="459">
                  <c:v>2.02562680358335E-3</c:v>
                </c:pt>
                <c:pt idx="460">
                  <c:v>1.2310443033820328E-2</c:v>
                </c:pt>
                <c:pt idx="461">
                  <c:v>-1.3940959691325695E-3</c:v>
                </c:pt>
                <c:pt idx="462">
                  <c:v>2.4837799570480903E-3</c:v>
                </c:pt>
                <c:pt idx="463">
                  <c:v>6.7534934731103176E-3</c:v>
                </c:pt>
                <c:pt idx="464">
                  <c:v>-1.985171570581598E-3</c:v>
                </c:pt>
                <c:pt idx="465">
                  <c:v>-1.2786876070645195E-2</c:v>
                </c:pt>
                <c:pt idx="466">
                  <c:v>-2.2591682158683152E-3</c:v>
                </c:pt>
                <c:pt idx="467">
                  <c:v>5.547257675413403E-3</c:v>
                </c:pt>
                <c:pt idx="468">
                  <c:v>4.2541173173927561E-4</c:v>
                </c:pt>
                <c:pt idx="469">
                  <c:v>-1.1243566259035888E-2</c:v>
                </c:pt>
                <c:pt idx="470">
                  <c:v>2.739728333020796E-2</c:v>
                </c:pt>
                <c:pt idx="471">
                  <c:v>2.3887739038996633E-3</c:v>
                </c:pt>
                <c:pt idx="472">
                  <c:v>2.1012386044771139E-2</c:v>
                </c:pt>
                <c:pt idx="473">
                  <c:v>-1.1688389084410285E-3</c:v>
                </c:pt>
                <c:pt idx="474">
                  <c:v>2.3235395651179536E-2</c:v>
                </c:pt>
                <c:pt idx="475">
                  <c:v>8.9298724701124144E-3</c:v>
                </c:pt>
                <c:pt idx="476">
                  <c:v>4.2942633729377826E-3</c:v>
                </c:pt>
                <c:pt idx="477">
                  <c:v>1.1279993292139435E-4</c:v>
                </c:pt>
                <c:pt idx="478">
                  <c:v>-4.5113839555664572E-4</c:v>
                </c:pt>
                <c:pt idx="479">
                  <c:v>-6.9047481313083813E-3</c:v>
                </c:pt>
                <c:pt idx="480">
                  <c:v>-5.0673517653606753E-3</c:v>
                </c:pt>
                <c:pt idx="481">
                  <c:v>-8.3111702996510346E-3</c:v>
                </c:pt>
                <c:pt idx="482">
                  <c:v>5.1789533919112938E-4</c:v>
                </c:pt>
                <c:pt idx="483">
                  <c:v>3.7896091787737837E-3</c:v>
                </c:pt>
                <c:pt idx="484">
                  <c:v>4.8024929294994264E-3</c:v>
                </c:pt>
                <c:pt idx="485">
                  <c:v>-7.557185534083681E-3</c:v>
                </c:pt>
                <c:pt idx="486">
                  <c:v>4.7585291615505022E-3</c:v>
                </c:pt>
                <c:pt idx="487">
                  <c:v>-1.3736405532714349E-3</c:v>
                </c:pt>
                <c:pt idx="488">
                  <c:v>3.1070118388379801E-2</c:v>
                </c:pt>
                <c:pt idx="489">
                  <c:v>-2.8912731689037141E-3</c:v>
                </c:pt>
                <c:pt idx="490">
                  <c:v>-1.5996748721572914E-2</c:v>
                </c:pt>
                <c:pt idx="491">
                  <c:v>1.0744618189316108E-3</c:v>
                </c:pt>
                <c:pt idx="492">
                  <c:v>9.1144723181207678E-3</c:v>
                </c:pt>
                <c:pt idx="493">
                  <c:v>1.7905836665891154E-3</c:v>
                </c:pt>
                <c:pt idx="494">
                  <c:v>5.2414665587995754E-3</c:v>
                </c:pt>
                <c:pt idx="495">
                  <c:v>-9.8363145420593528E-3</c:v>
                </c:pt>
                <c:pt idx="496">
                  <c:v>1.858501310552256E-2</c:v>
                </c:pt>
                <c:pt idx="497">
                  <c:v>-3.5345617904352757E-3</c:v>
                </c:pt>
                <c:pt idx="498">
                  <c:v>-1.6905610445916298E-2</c:v>
                </c:pt>
                <c:pt idx="499">
                  <c:v>7.1765552477973159E-3</c:v>
                </c:pt>
                <c:pt idx="500">
                  <c:v>-1.2857697271356746E-3</c:v>
                </c:pt>
                <c:pt idx="501">
                  <c:v>1.5651375902693578E-2</c:v>
                </c:pt>
                <c:pt idx="502">
                  <c:v>0</c:v>
                </c:pt>
                <c:pt idx="503">
                  <c:v>-1.6042989850930472E-2</c:v>
                </c:pt>
                <c:pt idx="504">
                  <c:v>4.9680664595954851E-3</c:v>
                </c:pt>
                <c:pt idx="505">
                  <c:v>1.0468993076297851E-2</c:v>
                </c:pt>
                <c:pt idx="506">
                  <c:v>-3.8093315032526956E-3</c:v>
                </c:pt>
                <c:pt idx="507">
                  <c:v>6.3957738601456895E-3</c:v>
                </c:pt>
                <c:pt idx="508">
                  <c:v>1.0988743391904061E-4</c:v>
                </c:pt>
                <c:pt idx="509">
                  <c:v>1.0930862804251935E-2</c:v>
                </c:pt>
                <c:pt idx="510">
                  <c:v>7.0955464419848379E-3</c:v>
                </c:pt>
                <c:pt idx="511">
                  <c:v>-9.7625243971206383E-3</c:v>
                </c:pt>
                <c:pt idx="512">
                  <c:v>1.589647009927115E-2</c:v>
                </c:pt>
                <c:pt idx="513">
                  <c:v>4.5492332582912328E-3</c:v>
                </c:pt>
                <c:pt idx="514">
                  <c:v>-5.875467452382744E-4</c:v>
                </c:pt>
                <c:pt idx="515">
                  <c:v>1.6016233411999265E-3</c:v>
                </c:pt>
                <c:pt idx="516">
                  <c:v>1.108736566761589E-2</c:v>
                </c:pt>
                <c:pt idx="517">
                  <c:v>1.2008862043122856E-2</c:v>
                </c:pt>
                <c:pt idx="518">
                  <c:v>-5.8553457304772721E-3</c:v>
                </c:pt>
                <c:pt idx="519">
                  <c:v>-1.4691611288529948E-3</c:v>
                </c:pt>
                <c:pt idx="520">
                  <c:v>9.2513144711382292E-3</c:v>
                </c:pt>
                <c:pt idx="521">
                  <c:v>2.2346631765941872E-3</c:v>
                </c:pt>
                <c:pt idx="522">
                  <c:v>3.6328074715077609E-4</c:v>
                </c:pt>
                <c:pt idx="523">
                  <c:v>3.5224324574504432E-3</c:v>
                </c:pt>
                <c:pt idx="524">
                  <c:v>3.7676113849673129E-3</c:v>
                </c:pt>
                <c:pt idx="525">
                  <c:v>-6.2527531393145016E-3</c:v>
                </c:pt>
                <c:pt idx="526">
                  <c:v>-2.5922182084070467E-4</c:v>
                </c:pt>
                <c:pt idx="527">
                  <c:v>-2.9598625643060456E-3</c:v>
                </c:pt>
                <c:pt idx="528">
                  <c:v>3.4264261246514465E-3</c:v>
                </c:pt>
                <c:pt idx="529">
                  <c:v>-8.8142029938764104E-4</c:v>
                </c:pt>
                <c:pt idx="530">
                  <c:v>-5.9832127234186521E-3</c:v>
                </c:pt>
                <c:pt idx="531">
                  <c:v>-2.8261842553797479E-2</c:v>
                </c:pt>
                <c:pt idx="532">
                  <c:v>1.7698252343863036E-3</c:v>
                </c:pt>
                <c:pt idx="533">
                  <c:v>2.9428310618131773E-3</c:v>
                </c:pt>
                <c:pt idx="534">
                  <c:v>3.0407712098100251E-3</c:v>
                </c:pt>
                <c:pt idx="535">
                  <c:v>-5.9836022716233082E-3</c:v>
                </c:pt>
                <c:pt idx="536">
                  <c:v>-1.8234933150134012E-3</c:v>
                </c:pt>
                <c:pt idx="537">
                  <c:v>-5.8686060692318973E-3</c:v>
                </c:pt>
                <c:pt idx="538">
                  <c:v>1.1333148745895825E-3</c:v>
                </c:pt>
                <c:pt idx="539">
                  <c:v>-1.07370746218953E-2</c:v>
                </c:pt>
                <c:pt idx="540">
                  <c:v>4.2435453113469548E-3</c:v>
                </c:pt>
                <c:pt idx="541">
                  <c:v>-8.6898526831033832E-4</c:v>
                </c:pt>
                <c:pt idx="542">
                  <c:v>-4.0289837072367907E-3</c:v>
                </c:pt>
                <c:pt idx="543">
                  <c:v>-5.4570260562946402E-4</c:v>
                </c:pt>
                <c:pt idx="544">
                  <c:v>-7.6712704966514795E-3</c:v>
                </c:pt>
                <c:pt idx="545">
                  <c:v>-5.0733267789026528E-3</c:v>
                </c:pt>
                <c:pt idx="546">
                  <c:v>4.5231204376497414E-3</c:v>
                </c:pt>
                <c:pt idx="547">
                  <c:v>6.5279171634006284E-3</c:v>
                </c:pt>
                <c:pt idx="548">
                  <c:v>4.8000565715693279E-3</c:v>
                </c:pt>
                <c:pt idx="549">
                  <c:v>-2.2880546197603423E-3</c:v>
                </c:pt>
                <c:pt idx="550">
                  <c:v>7.7148874232907012E-3</c:v>
                </c:pt>
                <c:pt idx="551">
                  <c:v>1.0827646049621364E-4</c:v>
                </c:pt>
                <c:pt idx="552">
                  <c:v>-1.8570635571812499E-2</c:v>
                </c:pt>
                <c:pt idx="553">
                  <c:v>-6.618172911648265E-4</c:v>
                </c:pt>
                <c:pt idx="554">
                  <c:v>9.1159871573076867E-3</c:v>
                </c:pt>
                <c:pt idx="555">
                  <c:v>1.7717772147514535E-2</c:v>
                </c:pt>
                <c:pt idx="556">
                  <c:v>2.6341694156230083E-2</c:v>
                </c:pt>
                <c:pt idx="557">
                  <c:v>-2.8811671051432153E-3</c:v>
                </c:pt>
                <c:pt idx="558">
                  <c:v>1.0645072763326822E-2</c:v>
                </c:pt>
                <c:pt idx="559">
                  <c:v>-3.9525616437260866E-3</c:v>
                </c:pt>
                <c:pt idx="560">
                  <c:v>2.6127822516268665E-2</c:v>
                </c:pt>
                <c:pt idx="561">
                  <c:v>4.7606584436176011E-3</c:v>
                </c:pt>
                <c:pt idx="562">
                  <c:v>-2.1036184516874452E-2</c:v>
                </c:pt>
                <c:pt idx="563">
                  <c:v>4.5305105898103123E-3</c:v>
                </c:pt>
                <c:pt idx="564">
                  <c:v>2.3855366038062705E-2</c:v>
                </c:pt>
                <c:pt idx="565">
                  <c:v>-5.8855136919059216E-3</c:v>
                </c:pt>
                <c:pt idx="566">
                  <c:v>-1.5097478869044783E-2</c:v>
                </c:pt>
                <c:pt idx="567">
                  <c:v>1.019169021018235E-2</c:v>
                </c:pt>
                <c:pt idx="568">
                  <c:v>-3.1992150318794522E-3</c:v>
                </c:pt>
                <c:pt idx="569">
                  <c:v>7.1965003238306617E-3</c:v>
                </c:pt>
                <c:pt idx="570">
                  <c:v>-5.7225733806422849E-3</c:v>
                </c:pt>
                <c:pt idx="571">
                  <c:v>7.5388170156960761E-3</c:v>
                </c:pt>
                <c:pt idx="572">
                  <c:v>1.9121386856435451E-2</c:v>
                </c:pt>
                <c:pt idx="573">
                  <c:v>-6.4303470626731786E-4</c:v>
                </c:pt>
                <c:pt idx="574">
                  <c:v>-4.4634074749701257E-3</c:v>
                </c:pt>
                <c:pt idx="575">
                  <c:v>-1.1397298492928634E-2</c:v>
                </c:pt>
                <c:pt idx="576">
                  <c:v>7.8620666603218155E-3</c:v>
                </c:pt>
                <c:pt idx="577">
                  <c:v>3.0380656754726365E-3</c:v>
                </c:pt>
                <c:pt idx="578">
                  <c:v>1.5004488526765062E-2</c:v>
                </c:pt>
                <c:pt idx="579">
                  <c:v>-1.9340332101503831E-2</c:v>
                </c:pt>
                <c:pt idx="580">
                  <c:v>-4.0036086885234141E-3</c:v>
                </c:pt>
                <c:pt idx="581">
                  <c:v>6.5974216321085313E-3</c:v>
                </c:pt>
                <c:pt idx="582">
                  <c:v>-6.0960930887571487E-3</c:v>
                </c:pt>
                <c:pt idx="583">
                  <c:v>6.195695166983959E-3</c:v>
                </c:pt>
                <c:pt idx="584">
                  <c:v>-1.4095679073773076E-2</c:v>
                </c:pt>
                <c:pt idx="585">
                  <c:v>4.8379752909055249E-3</c:v>
                </c:pt>
                <c:pt idx="586">
                  <c:v>2.4604086846927858E-3</c:v>
                </c:pt>
                <c:pt idx="587">
                  <c:v>-4.1711993186772864E-3</c:v>
                </c:pt>
                <c:pt idx="588">
                  <c:v>2.1129262655032468E-3</c:v>
                </c:pt>
                <c:pt idx="589">
                  <c:v>1.0047797590101929E-4</c:v>
                </c:pt>
                <c:pt idx="590">
                  <c:v>-3.3723203832884642E-3</c:v>
                </c:pt>
                <c:pt idx="591">
                  <c:v>1.5459208663897123E-2</c:v>
                </c:pt>
                <c:pt idx="592">
                  <c:v>7.0741231818441811E-3</c:v>
                </c:pt>
                <c:pt idx="593">
                  <c:v>9.5178192524349864E-3</c:v>
                </c:pt>
                <c:pt idx="594">
                  <c:v>-1.5054141436917398E-2</c:v>
                </c:pt>
                <c:pt idx="595">
                  <c:v>4.4019282459867902E-3</c:v>
                </c:pt>
                <c:pt idx="596">
                  <c:v>4.8738077246031674E-3</c:v>
                </c:pt>
                <c:pt idx="597">
                  <c:v>-2.8032335667185228E-3</c:v>
                </c:pt>
                <c:pt idx="598">
                  <c:v>-7.8117914404175039E-3</c:v>
                </c:pt>
                <c:pt idx="599">
                  <c:v>-9.9251054533082547E-5</c:v>
                </c:pt>
                <c:pt idx="600">
                  <c:v>1.7358962821522753E-3</c:v>
                </c:pt>
                <c:pt idx="601">
                  <c:v>-1.4776614414791786E-2</c:v>
                </c:pt>
                <c:pt idx="602">
                  <c:v>-3.8800145874982612E-3</c:v>
                </c:pt>
                <c:pt idx="603">
                  <c:v>-1.2293130260797066E-2</c:v>
                </c:pt>
                <c:pt idx="604">
                  <c:v>1.1282876071055622E-2</c:v>
                </c:pt>
                <c:pt idx="605">
                  <c:v>-1.9728866112101689E-3</c:v>
                </c:pt>
                <c:pt idx="606">
                  <c:v>-1.216064382496189E-3</c:v>
                </c:pt>
                <c:pt idx="607">
                  <c:v>-4.879037635297988E-3</c:v>
                </c:pt>
                <c:pt idx="608">
                  <c:v>-1.0087426800028507E-2</c:v>
                </c:pt>
                <c:pt idx="609">
                  <c:v>5.145091760760677E-4</c:v>
                </c:pt>
                <c:pt idx="610">
                  <c:v>7.1244116218897296E-3</c:v>
                </c:pt>
                <c:pt idx="611">
                  <c:v>3.0087604621398334E-3</c:v>
                </c:pt>
                <c:pt idx="612">
                  <c:v>7.1539286300617939E-3</c:v>
                </c:pt>
                <c:pt idx="613">
                  <c:v>-1.3026835665023308E-2</c:v>
                </c:pt>
                <c:pt idx="614">
                  <c:v>2.8641465728216076E-3</c:v>
                </c:pt>
                <c:pt idx="615">
                  <c:v>3.8231217714593058E-3</c:v>
                </c:pt>
                <c:pt idx="616">
                  <c:v>-1.1667932951336448E-2</c:v>
                </c:pt>
                <c:pt idx="617">
                  <c:v>1.0700777840001093E-2</c:v>
                </c:pt>
                <c:pt idx="618">
                  <c:v>-7.1324290566681531E-4</c:v>
                </c:pt>
                <c:pt idx="619">
                  <c:v>-3.5226085404931138E-3</c:v>
                </c:pt>
                <c:pt idx="620">
                  <c:v>-5.4873714836624161E-3</c:v>
                </c:pt>
                <c:pt idx="621">
                  <c:v>5.4873714836623649E-3</c:v>
                </c:pt>
                <c:pt idx="622">
                  <c:v>1.2777594632126471E-3</c:v>
                </c:pt>
                <c:pt idx="623">
                  <c:v>3.064070167053769E-4</c:v>
                </c:pt>
                <c:pt idx="624">
                  <c:v>-1.1762134766634989E-2</c:v>
                </c:pt>
                <c:pt idx="625">
                  <c:v>-1.1372784228845022E-3</c:v>
                </c:pt>
                <c:pt idx="626">
                  <c:v>-1.0712581726706361E-2</c:v>
                </c:pt>
                <c:pt idx="627">
                  <c:v>3.3404825344688139E-3</c:v>
                </c:pt>
                <c:pt idx="628">
                  <c:v>2.3940761271535643E-3</c:v>
                </c:pt>
                <c:pt idx="629">
                  <c:v>-5.0550965168347601E-3</c:v>
                </c:pt>
                <c:pt idx="630">
                  <c:v>-8.8856141025539146E-4</c:v>
                </c:pt>
                <c:pt idx="631">
                  <c:v>-1.6224510460784893E-3</c:v>
                </c:pt>
                <c:pt idx="632">
                  <c:v>6.2136453694543944E-3</c:v>
                </c:pt>
                <c:pt idx="633">
                  <c:v>3.1225960354315117E-4</c:v>
                </c:pt>
                <c:pt idx="634">
                  <c:v>-1.0933672637802037E-3</c:v>
                </c:pt>
                <c:pt idx="635">
                  <c:v>-5.6944618118119714E-3</c:v>
                </c:pt>
                <c:pt idx="636">
                  <c:v>9.1267683233349321E-3</c:v>
                </c:pt>
                <c:pt idx="637">
                  <c:v>-6.2315705542152213E-4</c:v>
                </c:pt>
                <c:pt idx="638">
                  <c:v>3.2674088391857186E-3</c:v>
                </c:pt>
                <c:pt idx="639">
                  <c:v>1.2810414334619996E-2</c:v>
                </c:pt>
                <c:pt idx="640">
                  <c:v>1.5324108197861239E-3</c:v>
                </c:pt>
                <c:pt idx="641">
                  <c:v>4.5927816023401885E-4</c:v>
                </c:pt>
                <c:pt idx="642">
                  <c:v>-3.9360823580764509E-3</c:v>
                </c:pt>
                <c:pt idx="643">
                  <c:v>1.2622280219577665E-2</c:v>
                </c:pt>
                <c:pt idx="644">
                  <c:v>1.5174290459729159E-4</c:v>
                </c:pt>
                <c:pt idx="645">
                  <c:v>-4.6631698156101558E-3</c:v>
                </c:pt>
                <c:pt idx="646">
                  <c:v>-2.0342782281946971E-3</c:v>
                </c:pt>
                <c:pt idx="647">
                  <c:v>-2.038424953129538E-3</c:v>
                </c:pt>
                <c:pt idx="648">
                  <c:v>9.1776813835864313E-4</c:v>
                </c:pt>
                <c:pt idx="649">
                  <c:v>3.4597077644024344E-3</c:v>
                </c:pt>
                <c:pt idx="650">
                  <c:v>-1.2007399562659367E-2</c:v>
                </c:pt>
                <c:pt idx="651">
                  <c:v>7.6809225040289451E-3</c:v>
                </c:pt>
                <c:pt idx="652">
                  <c:v>5.1387711460531846E-3</c:v>
                </c:pt>
                <c:pt idx="653">
                  <c:v>-1.5238610077067491E-2</c:v>
                </c:pt>
                <c:pt idx="654">
                  <c:v>-1.7018269642495524E-3</c:v>
                </c:pt>
                <c:pt idx="655">
                  <c:v>-2.7911448212779625E-3</c:v>
                </c:pt>
                <c:pt idx="656">
                  <c:v>3.9260178715701454E-3</c:v>
                </c:pt>
                <c:pt idx="657">
                  <c:v>-3.1499215966817747E-3</c:v>
                </c:pt>
                <c:pt idx="658">
                  <c:v>-4.8735188089433787E-3</c:v>
                </c:pt>
                <c:pt idx="659">
                  <c:v>-4.5318224046941588E-3</c:v>
                </c:pt>
                <c:pt idx="660">
                  <c:v>-5.2222048669730951E-4</c:v>
                </c:pt>
                <c:pt idx="661">
                  <c:v>-7.8384242555549349E-4</c:v>
                </c:pt>
                <c:pt idx="662">
                  <c:v>-1.2031118637709465E-3</c:v>
                </c:pt>
                <c:pt idx="663">
                  <c:v>-4.2485053218494105E-3</c:v>
                </c:pt>
                <c:pt idx="664">
                  <c:v>-3.3696785716191323E-3</c:v>
                </c:pt>
                <c:pt idx="665">
                  <c:v>-6.34889183821112E-3</c:v>
                </c:pt>
                <c:pt idx="666">
                  <c:v>1.0609517869105895E-3</c:v>
                </c:pt>
                <c:pt idx="667">
                  <c:v>3.8101719353384462E-3</c:v>
                </c:pt>
                <c:pt idx="668">
                  <c:v>1.6360008536025392E-3</c:v>
                </c:pt>
                <c:pt idx="669">
                  <c:v>1.1586265785144559E-2</c:v>
                </c:pt>
                <c:pt idx="670">
                  <c:v>-1.564098483359136E-4</c:v>
                </c:pt>
                <c:pt idx="671">
                  <c:v>-3.7082411186100178E-3</c:v>
                </c:pt>
                <c:pt idx="672">
                  <c:v>3.5518704503101632E-3</c:v>
                </c:pt>
                <c:pt idx="673">
                  <c:v>9.6513697844355564E-3</c:v>
                </c:pt>
                <c:pt idx="674">
                  <c:v>4.0198202604455977E-3</c:v>
                </c:pt>
                <c:pt idx="675">
                  <c:v>-3.1423581073141311E-3</c:v>
                </c:pt>
                <c:pt idx="676">
                  <c:v>8.2521802323535988E-4</c:v>
                </c:pt>
                <c:pt idx="677">
                  <c:v>-7.0357753538675908E-3</c:v>
                </c:pt>
                <c:pt idx="678">
                  <c:v>-4.2140247779170774E-3</c:v>
                </c:pt>
                <c:pt idx="679">
                  <c:v>-3.1284575797786132E-4</c:v>
                </c:pt>
                <c:pt idx="680">
                  <c:v>4.6926375810114266E-4</c:v>
                </c:pt>
                <c:pt idx="681">
                  <c:v>2.5509680494884674E-3</c:v>
                </c:pt>
                <c:pt idx="682">
                  <c:v>-6.258821711373876E-3</c:v>
                </c:pt>
                <c:pt idx="683">
                  <c:v>-1.151750325271196E-3</c:v>
                </c:pt>
                <c:pt idx="684">
                  <c:v>4.7132802831968489E-4</c:v>
                </c:pt>
                <c:pt idx="685">
                  <c:v>7.1471474890586499E-3</c:v>
                </c:pt>
                <c:pt idx="686">
                  <c:v>4.0465135766017896E-3</c:v>
                </c:pt>
                <c:pt idx="687">
                  <c:v>2.5883266612720474E-4</c:v>
                </c:pt>
                <c:pt idx="688">
                  <c:v>7.0146644510382973E-3</c:v>
                </c:pt>
                <c:pt idx="689">
                  <c:v>-1.3661993139932882E-2</c:v>
                </c:pt>
                <c:pt idx="690">
                  <c:v>3.2253439402924861E-3</c:v>
                </c:pt>
                <c:pt idx="691">
                  <c:v>-4.5809808524142244E-3</c:v>
                </c:pt>
                <c:pt idx="692">
                  <c:v>-8.4883670118787724E-3</c:v>
                </c:pt>
                <c:pt idx="693">
                  <c:v>-1.5270736211994373E-2</c:v>
                </c:pt>
                <c:pt idx="694">
                  <c:v>-6.002135474614082E-3</c:v>
                </c:pt>
                <c:pt idx="695">
                  <c:v>-6.6334603916072153E-3</c:v>
                </c:pt>
                <c:pt idx="696">
                  <c:v>-9.8421042458859825E-3</c:v>
                </c:pt>
                <c:pt idx="697">
                  <c:v>-2.9551953045939619E-3</c:v>
                </c:pt>
                <c:pt idx="698">
                  <c:v>-3.3487861038289848E-3</c:v>
                </c:pt>
                <c:pt idx="699">
                  <c:v>-1.0453767983573286E-3</c:v>
                </c:pt>
                <c:pt idx="700">
                  <c:v>7.4586151734713311E-3</c:v>
                </c:pt>
                <c:pt idx="701">
                  <c:v>1.0490108470351069E-2</c:v>
                </c:pt>
                <c:pt idx="702">
                  <c:v>6.1986453697419836E-3</c:v>
                </c:pt>
                <c:pt idx="703">
                  <c:v>6.3206856067081355E-3</c:v>
                </c:pt>
                <c:pt idx="704">
                  <c:v>-1.8706079095983437E-3</c:v>
                </c:pt>
                <c:pt idx="705">
                  <c:v>3.060790174466398E-2</c:v>
                </c:pt>
                <c:pt idx="706">
                  <c:v>-3.274031158004244E-3</c:v>
                </c:pt>
                <c:pt idx="707">
                  <c:v>8.3249685666777465E-4</c:v>
                </c:pt>
                <c:pt idx="708">
                  <c:v>1.6813236521731816E-2</c:v>
                </c:pt>
                <c:pt idx="709">
                  <c:v>6.6773830904018538E-3</c:v>
                </c:pt>
                <c:pt idx="710">
                  <c:v>7.1376321141812813E-3</c:v>
                </c:pt>
                <c:pt idx="711">
                  <c:v>-3.1322401557761035E-3</c:v>
                </c:pt>
                <c:pt idx="712">
                  <c:v>-6.5803601800473461E-4</c:v>
                </c:pt>
                <c:pt idx="713">
                  <c:v>4.5970001603473989E-3</c:v>
                </c:pt>
                <c:pt idx="714">
                  <c:v>1.5611896722705911E-3</c:v>
                </c:pt>
                <c:pt idx="715">
                  <c:v>7.0427310112253379E-4</c:v>
                </c:pt>
                <c:pt idx="716">
                  <c:v>3.8144875229852628E-3</c:v>
                </c:pt>
                <c:pt idx="717">
                  <c:v>-5.5257086747362814E-3</c:v>
                </c:pt>
                <c:pt idx="718">
                  <c:v>-3.2290150880346837E-3</c:v>
                </c:pt>
                <c:pt idx="719">
                  <c:v>3.430498125606122E-3</c:v>
                </c:pt>
                <c:pt idx="720">
                  <c:v>2.9670004669155115E-3</c:v>
                </c:pt>
                <c:pt idx="721">
                  <c:v>-4.9835367669279649E-3</c:v>
                </c:pt>
                <c:pt idx="722">
                  <c:v>-7.4967054908099675E-3</c:v>
                </c:pt>
                <c:pt idx="723">
                  <c:v>-7.8095737432913991E-3</c:v>
                </c:pt>
                <c:pt idx="724">
                  <c:v>6.4867052439646052E-3</c:v>
                </c:pt>
                <c:pt idx="725">
                  <c:v>-1.6218778932181269E-2</c:v>
                </c:pt>
                <c:pt idx="726">
                  <c:v>6.6527794921554017E-3</c:v>
                </c:pt>
                <c:pt idx="727">
                  <c:v>8.3434305950576618E-3</c:v>
                </c:pt>
                <c:pt idx="728">
                  <c:v>-8.6696414395553013E-4</c:v>
                </c:pt>
                <c:pt idx="729">
                  <c:v>1.2069136779111171E-2</c:v>
                </c:pt>
                <c:pt idx="730">
                  <c:v>-1.1600298000505828E-3</c:v>
                </c:pt>
                <c:pt idx="731">
                  <c:v>-1.9700582161407579E-3</c:v>
                </c:pt>
                <c:pt idx="732">
                  <c:v>1.0862615061766792E-2</c:v>
                </c:pt>
                <c:pt idx="733">
                  <c:v>-3.9592224866650304E-3</c:v>
                </c:pt>
                <c:pt idx="734">
                  <c:v>5.4086303844145013E-3</c:v>
                </c:pt>
                <c:pt idx="735">
                  <c:v>4.7833163729554557E-3</c:v>
                </c:pt>
                <c:pt idx="736">
                  <c:v>1.3772846290545529E-2</c:v>
                </c:pt>
                <c:pt idx="737">
                  <c:v>3.6214312587581126E-3</c:v>
                </c:pt>
                <c:pt idx="738">
                  <c:v>-4.4061562069063493E-3</c:v>
                </c:pt>
                <c:pt idx="739">
                  <c:v>1.6013593082084946E-2</c:v>
                </c:pt>
                <c:pt idx="740">
                  <c:v>-2.2906437155782732E-2</c:v>
                </c:pt>
                <c:pt idx="741">
                  <c:v>-2.7704839468059126E-3</c:v>
                </c:pt>
                <c:pt idx="742">
                  <c:v>5.9274068333569612E-3</c:v>
                </c:pt>
                <c:pt idx="743">
                  <c:v>-2.9552536040616107E-4</c:v>
                </c:pt>
                <c:pt idx="744">
                  <c:v>-1.568969924387106E-2</c:v>
                </c:pt>
                <c:pt idx="745">
                  <c:v>-1.0210610339417879E-2</c:v>
                </c:pt>
                <c:pt idx="746">
                  <c:v>-1.0109265866683018E-4</c:v>
                </c:pt>
                <c:pt idx="747">
                  <c:v>2.2726708042306704E-3</c:v>
                </c:pt>
                <c:pt idx="748">
                  <c:v>2.3876474971215301E-2</c:v>
                </c:pt>
                <c:pt idx="749">
                  <c:v>-4.4923807443041424E-3</c:v>
                </c:pt>
                <c:pt idx="750">
                  <c:v>2.5695884133355284E-3</c:v>
                </c:pt>
                <c:pt idx="751">
                  <c:v>5.9537043864478579E-3</c:v>
                </c:pt>
                <c:pt idx="752">
                  <c:v>-1.9151099131709602E-3</c:v>
                </c:pt>
                <c:pt idx="753">
                  <c:v>2.2584336059977327E-3</c:v>
                </c:pt>
                <c:pt idx="754">
                  <c:v>8.7887493834622587E-3</c:v>
                </c:pt>
                <c:pt idx="755">
                  <c:v>5.3451924708380275E-4</c:v>
                </c:pt>
                <c:pt idx="756">
                  <c:v>1.1449100696166307E-2</c:v>
                </c:pt>
                <c:pt idx="757">
                  <c:v>-3.8500458433421737E-3</c:v>
                </c:pt>
                <c:pt idx="758">
                  <c:v>-5.5605396969713086E-3</c:v>
                </c:pt>
                <c:pt idx="759">
                  <c:v>9.6927413552285076E-4</c:v>
                </c:pt>
                <c:pt idx="760">
                  <c:v>-1.4736982781769346E-2</c:v>
                </c:pt>
                <c:pt idx="761">
                  <c:v>3.9740504436172235E-3</c:v>
                </c:pt>
                <c:pt idx="762">
                  <c:v>4.8951249376952092E-5</c:v>
                </c:pt>
                <c:pt idx="763">
                  <c:v>-7.7660989134802393E-3</c:v>
                </c:pt>
                <c:pt idx="764">
                  <c:v>-9.8668231945362532E-5</c:v>
                </c:pt>
                <c:pt idx="765">
                  <c:v>-2.3221142671955622E-3</c:v>
                </c:pt>
                <c:pt idx="766">
                  <c:v>-3.6669527431482853E-3</c:v>
                </c:pt>
                <c:pt idx="767">
                  <c:v>1.5956951403282443E-2</c:v>
                </c:pt>
                <c:pt idx="768">
                  <c:v>-1.0165310319773104E-2</c:v>
                </c:pt>
                <c:pt idx="769">
                  <c:v>-1.1617081726109013E-2</c:v>
                </c:pt>
                <c:pt idx="770">
                  <c:v>7.9578656276874729E-3</c:v>
                </c:pt>
                <c:pt idx="771">
                  <c:v>3.9059773581561485E-3</c:v>
                </c:pt>
                <c:pt idx="772">
                  <c:v>-3.3116463011742948E-3</c:v>
                </c:pt>
                <c:pt idx="773">
                  <c:v>1.9289741822805175E-3</c:v>
                </c:pt>
                <c:pt idx="774">
                  <c:v>-4.8543422138760161E-3</c:v>
                </c:pt>
                <c:pt idx="775">
                  <c:v>1.4885385122534204E-3</c:v>
                </c:pt>
                <c:pt idx="776">
                  <c:v>-4.9570163444326434E-5</c:v>
                </c:pt>
                <c:pt idx="777">
                  <c:v>4.1563159010782613E-3</c:v>
                </c:pt>
                <c:pt idx="778">
                  <c:v>3.105999442300761E-3</c:v>
                </c:pt>
                <c:pt idx="779">
                  <c:v>8.2845164862083032E-3</c:v>
                </c:pt>
                <c:pt idx="780">
                  <c:v>2.2431851049437793E-3</c:v>
                </c:pt>
                <c:pt idx="781">
                  <c:v>-8.2659366317122222E-3</c:v>
                </c:pt>
                <c:pt idx="782">
                  <c:v>-5.120905671782916E-3</c:v>
                </c:pt>
                <c:pt idx="783">
                  <c:v>4.334792726306237E-3</c:v>
                </c:pt>
                <c:pt idx="784">
                  <c:v>3.4398171225140888E-4</c:v>
                </c:pt>
                <c:pt idx="785">
                  <c:v>-1.4751441294395143E-3</c:v>
                </c:pt>
                <c:pt idx="786">
                  <c:v>-4.3890601064939579E-3</c:v>
                </c:pt>
                <c:pt idx="787">
                  <c:v>-2.5238650815326029E-3</c:v>
                </c:pt>
                <c:pt idx="788">
                  <c:v>-1.2615124246704407E-2</c:v>
                </c:pt>
                <c:pt idx="789">
                  <c:v>-1.3054709316034623E-3</c:v>
                </c:pt>
                <c:pt idx="790">
                  <c:v>5.9112118252041043E-3</c:v>
                </c:pt>
                <c:pt idx="791">
                  <c:v>4.6840949064166177E-3</c:v>
                </c:pt>
                <c:pt idx="792">
                  <c:v>7.9227945997250287E-3</c:v>
                </c:pt>
                <c:pt idx="793">
                  <c:v>-2.5680053172179879E-3</c:v>
                </c:pt>
                <c:pt idx="794">
                  <c:v>-1.2865403339371805E-3</c:v>
                </c:pt>
                <c:pt idx="795">
                  <c:v>9.3143244200030086E-3</c:v>
                </c:pt>
                <c:pt idx="796">
                  <c:v>-4.9666821119139582E-3</c:v>
                </c:pt>
                <c:pt idx="797">
                  <c:v>2.7076939620032797E-3</c:v>
                </c:pt>
                <c:pt idx="798">
                  <c:v>-4.9176298015861592E-4</c:v>
                </c:pt>
                <c:pt idx="799">
                  <c:v>6.2274706977065233E-3</c:v>
                </c:pt>
                <c:pt idx="800">
                  <c:v>1.9939659139843434E-2</c:v>
                </c:pt>
                <c:pt idx="801">
                  <c:v>1.4650906546489963E-2</c:v>
                </c:pt>
                <c:pt idx="802">
                  <c:v>7.4332526156680222E-3</c:v>
                </c:pt>
                <c:pt idx="803">
                  <c:v>7.8435663508754604E-3</c:v>
                </c:pt>
                <c:pt idx="804">
                  <c:v>3.5744768391498196E-3</c:v>
                </c:pt>
                <c:pt idx="805">
                  <c:v>9.5006466554960235E-3</c:v>
                </c:pt>
                <c:pt idx="806">
                  <c:v>1.788495240181465E-3</c:v>
                </c:pt>
                <c:pt idx="807">
                  <c:v>-1.0177664197878154E-2</c:v>
                </c:pt>
                <c:pt idx="808">
                  <c:v>6.9191662527002852E-3</c:v>
                </c:pt>
                <c:pt idx="809">
                  <c:v>-5.7163638155206895E-3</c:v>
                </c:pt>
                <c:pt idx="810">
                  <c:v>-2.6386845425951824E-3</c:v>
                </c:pt>
                <c:pt idx="811">
                  <c:v>1.5747582428707817E-3</c:v>
                </c:pt>
                <c:pt idx="812">
                  <c:v>-2.0384080923120792E-3</c:v>
                </c:pt>
                <c:pt idx="813">
                  <c:v>7.4166872517189531E-4</c:v>
                </c:pt>
                <c:pt idx="814">
                  <c:v>1.128966261576579E-2</c:v>
                </c:pt>
                <c:pt idx="815">
                  <c:v>-1.1196893703511956E-2</c:v>
                </c:pt>
                <c:pt idx="816">
                  <c:v>7.7084785250944804E-3</c:v>
                </c:pt>
                <c:pt idx="817">
                  <c:v>3.6780471230489362E-4</c:v>
                </c:pt>
                <c:pt idx="818">
                  <c:v>6.8709900334791461E-3</c:v>
                </c:pt>
                <c:pt idx="819">
                  <c:v>1.2159770828042574E-2</c:v>
                </c:pt>
                <c:pt idx="820">
                  <c:v>8.5768495755336929E-3</c:v>
                </c:pt>
                <c:pt idx="821">
                  <c:v>1.0895049405066982E-2</c:v>
                </c:pt>
                <c:pt idx="822">
                  <c:v>1.4664135564459967E-2</c:v>
                </c:pt>
                <c:pt idx="823">
                  <c:v>-2.4436447730251439E-3</c:v>
                </c:pt>
                <c:pt idx="824">
                  <c:v>1.5993363911782323E-2</c:v>
                </c:pt>
                <c:pt idx="825">
                  <c:v>2.5765463327621051E-3</c:v>
                </c:pt>
                <c:pt idx="826">
                  <c:v>5.0479440488116548E-3</c:v>
                </c:pt>
                <c:pt idx="827">
                  <c:v>-5.9489174406446368E-3</c:v>
                </c:pt>
                <c:pt idx="828">
                  <c:v>1.0759197967561912E-2</c:v>
                </c:pt>
                <c:pt idx="829">
                  <c:v>5.9431219908922866E-4</c:v>
                </c:pt>
                <c:pt idx="830">
                  <c:v>4.06612066202905E-3</c:v>
                </c:pt>
                <c:pt idx="831">
                  <c:v>1.0511806622644015E-2</c:v>
                </c:pt>
                <c:pt idx="832">
                  <c:v>-8.0210813904086596E-3</c:v>
                </c:pt>
                <c:pt idx="833">
                  <c:v>4.4594510824546314E-3</c:v>
                </c:pt>
                <c:pt idx="834">
                  <c:v>6.7353795655969769E-3</c:v>
                </c:pt>
                <c:pt idx="835">
                  <c:v>-2.7989800481359611E-2</c:v>
                </c:pt>
                <c:pt idx="836">
                  <c:v>-1.9313725586944581E-3</c:v>
                </c:pt>
                <c:pt idx="837">
                  <c:v>-1.3756724603899396E-3</c:v>
                </c:pt>
                <c:pt idx="838">
                  <c:v>2.2774857931127522E-3</c:v>
                </c:pt>
                <c:pt idx="839">
                  <c:v>2.1438073190774686E-3</c:v>
                </c:pt>
                <c:pt idx="840">
                  <c:v>4.5296661467797766E-3</c:v>
                </c:pt>
                <c:pt idx="841">
                  <c:v>-2.3292979548680329E-2</c:v>
                </c:pt>
                <c:pt idx="842">
                  <c:v>3.7026594091494527E-3</c:v>
                </c:pt>
                <c:pt idx="843">
                  <c:v>-3.0438616232441028E-4</c:v>
                </c:pt>
                <c:pt idx="844">
                  <c:v>-8.6969324572335372E-5</c:v>
                </c:pt>
                <c:pt idx="845">
                  <c:v>9.7823994309423207E-3</c:v>
                </c:pt>
                <c:pt idx="846">
                  <c:v>-2.760589407145369E-3</c:v>
                </c:pt>
                <c:pt idx="847">
                  <c:v>-6.912606128823438E-4</c:v>
                </c:pt>
                <c:pt idx="848">
                  <c:v>7.9643958983619933E-3</c:v>
                </c:pt>
                <c:pt idx="849">
                  <c:v>1.498089474872309E-2</c:v>
                </c:pt>
                <c:pt idx="850">
                  <c:v>-1.3267171767020015E-2</c:v>
                </c:pt>
                <c:pt idx="851">
                  <c:v>7.3781354798519282E-3</c:v>
                </c:pt>
                <c:pt idx="852">
                  <c:v>1.4888214910604233E-2</c:v>
                </c:pt>
                <c:pt idx="853">
                  <c:v>-3.6487767790969396E-3</c:v>
                </c:pt>
                <c:pt idx="854">
                  <c:v>1.3438686241467436E-2</c:v>
                </c:pt>
                <c:pt idx="855">
                  <c:v>8.9556950387785911E-3</c:v>
                </c:pt>
                <c:pt idx="856">
                  <c:v>-5.0251162420579488E-3</c:v>
                </c:pt>
                <c:pt idx="857">
                  <c:v>-1.351119128257647E-2</c:v>
                </c:pt>
                <c:pt idx="858">
                  <c:v>-2.2946670318134389E-2</c:v>
                </c:pt>
                <c:pt idx="859">
                  <c:v>-1.0712373814988035E-3</c:v>
                </c:pt>
                <c:pt idx="860">
                  <c:v>9.6849750810076001E-3</c:v>
                </c:pt>
                <c:pt idx="861">
                  <c:v>-6.3464816760843545E-3</c:v>
                </c:pt>
                <c:pt idx="862">
                  <c:v>1.110289464388048E-3</c:v>
                </c:pt>
                <c:pt idx="863">
                  <c:v>-8.5730735706837907E-3</c:v>
                </c:pt>
                <c:pt idx="864">
                  <c:v>1.0151150585457774E-2</c:v>
                </c:pt>
                <c:pt idx="865">
                  <c:v>-9.0324439414323776E-3</c:v>
                </c:pt>
                <c:pt idx="866">
                  <c:v>1.2223460620860391E-2</c:v>
                </c:pt>
                <c:pt idx="867">
                  <c:v>6.8580197117618603E-3</c:v>
                </c:pt>
                <c:pt idx="868">
                  <c:v>-2.7849130615993235E-2</c:v>
                </c:pt>
                <c:pt idx="869">
                  <c:v>1.0839169709689002E-3</c:v>
                </c:pt>
                <c:pt idx="870">
                  <c:v>-8.6648974742449842E-5</c:v>
                </c:pt>
                <c:pt idx="871">
                  <c:v>1.2275377571110555E-2</c:v>
                </c:pt>
                <c:pt idx="872">
                  <c:v>-1.5444010517410593E-2</c:v>
                </c:pt>
                <c:pt idx="873">
                  <c:v>1.3472849167638714E-2</c:v>
                </c:pt>
                <c:pt idx="874">
                  <c:v>-8.1829996215816558E-3</c:v>
                </c:pt>
                <c:pt idx="875">
                  <c:v>7.7539807631003049E-3</c:v>
                </c:pt>
                <c:pt idx="876">
                  <c:v>9.9911794480786777E-3</c:v>
                </c:pt>
                <c:pt idx="877">
                  <c:v>-1.6016849994939065E-2</c:v>
                </c:pt>
                <c:pt idx="878">
                  <c:v>5.8540533667421589E-3</c:v>
                </c:pt>
                <c:pt idx="879">
                  <c:v>-5.7676319065113404E-3</c:v>
                </c:pt>
                <c:pt idx="880">
                  <c:v>-7.5394205654809275E-3</c:v>
                </c:pt>
                <c:pt idx="881">
                  <c:v>1.0943747042885628E-2</c:v>
                </c:pt>
                <c:pt idx="882">
                  <c:v>1.3756724603899051E-3</c:v>
                </c:pt>
                <c:pt idx="883">
                  <c:v>-4.2898852745440194E-5</c:v>
                </c:pt>
                <c:pt idx="884">
                  <c:v>-1.9782819678747557E-3</c:v>
                </c:pt>
                <c:pt idx="885">
                  <c:v>1.571743658704651E-2</c:v>
                </c:pt>
                <c:pt idx="886">
                  <c:v>1.2088663472560882E-2</c:v>
                </c:pt>
                <c:pt idx="887">
                  <c:v>-1.403992502750996E-2</c:v>
                </c:pt>
                <c:pt idx="888">
                  <c:v>2.0784035788128691E-3</c:v>
                </c:pt>
                <c:pt idx="889">
                  <c:v>5.1137416303785902E-3</c:v>
                </c:pt>
                <c:pt idx="890">
                  <c:v>1.7881513074975274E-2</c:v>
                </c:pt>
                <c:pt idx="891">
                  <c:v>-4.1416442919625911E-4</c:v>
                </c:pt>
                <c:pt idx="892">
                  <c:v>3.6800068503831792E-3</c:v>
                </c:pt>
                <c:pt idx="893">
                  <c:v>1.6171314917783012E-2</c:v>
                </c:pt>
                <c:pt idx="894">
                  <c:v>-3.0911330198242801E-3</c:v>
                </c:pt>
                <c:pt idx="895">
                  <c:v>-1.2228428297097356E-3</c:v>
                </c:pt>
                <c:pt idx="896">
                  <c:v>-2.3230491252932139E-2</c:v>
                </c:pt>
                <c:pt idx="897">
                  <c:v>-1.4621412526544951E-3</c:v>
                </c:pt>
                <c:pt idx="898">
                  <c:v>5.2537740825496018E-3</c:v>
                </c:pt>
                <c:pt idx="899">
                  <c:v>3.6115155414233003E-3</c:v>
                </c:pt>
                <c:pt idx="900">
                  <c:v>-2.5771655108934748E-2</c:v>
                </c:pt>
                <c:pt idx="901">
                  <c:v>1.1877017079959726E-2</c:v>
                </c:pt>
                <c:pt idx="902">
                  <c:v>-1.1350772219737724E-3</c:v>
                </c:pt>
                <c:pt idx="903">
                  <c:v>1.1584493096314897E-2</c:v>
                </c:pt>
                <c:pt idx="904">
                  <c:v>8.8999863054093509E-3</c:v>
                </c:pt>
                <c:pt idx="905">
                  <c:v>3.4968666714193194E-3</c:v>
                </c:pt>
                <c:pt idx="906">
                  <c:v>-3.8266341350136168E-3</c:v>
                </c:pt>
                <c:pt idx="907">
                  <c:v>-9.9433227926106604E-3</c:v>
                </c:pt>
                <c:pt idx="908">
                  <c:v>-5.2600327453438626E-3</c:v>
                </c:pt>
                <c:pt idx="909">
                  <c:v>5.8578222243603018E-4</c:v>
                </c:pt>
                <c:pt idx="910">
                  <c:v>1.3173648862206806E-2</c:v>
                </c:pt>
                <c:pt idx="911">
                  <c:v>4.0789238864625725E-3</c:v>
                </c:pt>
                <c:pt idx="912">
                  <c:v>1.2381322610815695E-2</c:v>
                </c:pt>
                <c:pt idx="913">
                  <c:v>1.7447607257966857E-3</c:v>
                </c:pt>
                <c:pt idx="914">
                  <c:v>-1.1129137775200023E-2</c:v>
                </c:pt>
                <c:pt idx="915">
                  <c:v>5.6005032691237872E-3</c:v>
                </c:pt>
                <c:pt idx="916">
                  <c:v>1.837804343675201E-2</c:v>
                </c:pt>
                <c:pt idx="917">
                  <c:v>1.2798782157230325E-3</c:v>
                </c:pt>
                <c:pt idx="918">
                  <c:v>3.7900744796478744E-3</c:v>
                </c:pt>
                <c:pt idx="919">
                  <c:v>-1.1555060403106994E-3</c:v>
                </c:pt>
                <c:pt idx="920">
                  <c:v>-1.1830186756921601E-2</c:v>
                </c:pt>
                <c:pt idx="921">
                  <c:v>1.1830186756921704E-2</c:v>
                </c:pt>
                <c:pt idx="922">
                  <c:v>3.700706198852698E-3</c:v>
                </c:pt>
                <c:pt idx="923">
                  <c:v>-6.7542811569694958E-4</c:v>
                </c:pt>
                <c:pt idx="924">
                  <c:v>-5.9796869427120756E-3</c:v>
                </c:pt>
                <c:pt idx="925">
                  <c:v>9.8275808015969926E-3</c:v>
                </c:pt>
                <c:pt idx="926">
                  <c:v>-1.2710561536922458E-2</c:v>
                </c:pt>
                <c:pt idx="927">
                  <c:v>-1.5651613535240963E-3</c:v>
                </c:pt>
                <c:pt idx="928">
                  <c:v>1.4046919562063706E-3</c:v>
                </c:pt>
                <c:pt idx="929">
                  <c:v>7.1931259247034075E-3</c:v>
                </c:pt>
                <c:pt idx="930">
                  <c:v>-7.1529816835019886E-3</c:v>
                </c:pt>
                <c:pt idx="931">
                  <c:v>3.3231463116611603E-3</c:v>
                </c:pt>
                <c:pt idx="932">
                  <c:v>4.1881953466630442E-3</c:v>
                </c:pt>
                <c:pt idx="933">
                  <c:v>-7.9592057221238266E-5</c:v>
                </c:pt>
                <c:pt idx="934">
                  <c:v>1.5444721969289848E-2</c:v>
                </c:pt>
                <c:pt idx="935">
                  <c:v>1.1729349341314652E-2</c:v>
                </c:pt>
                <c:pt idx="936">
                  <c:v>-3.4877908519097121E-4</c:v>
                </c:pt>
                <c:pt idx="937">
                  <c:v>-6.2588318949571399E-3</c:v>
                </c:pt>
                <c:pt idx="938">
                  <c:v>2.4926604313492201E-3</c:v>
                </c:pt>
                <c:pt idx="939">
                  <c:v>6.7071602717054171E-3</c:v>
                </c:pt>
                <c:pt idx="940">
                  <c:v>1.2250735192204589E-2</c:v>
                </c:pt>
                <c:pt idx="941">
                  <c:v>2.516049581020544E-3</c:v>
                </c:pt>
                <c:pt idx="942">
                  <c:v>9.360187860914403E-3</c:v>
                </c:pt>
                <c:pt idx="943">
                  <c:v>3.0129580442378738E-3</c:v>
                </c:pt>
                <c:pt idx="944">
                  <c:v>4.0156746334729662E-3</c:v>
                </c:pt>
                <c:pt idx="945">
                  <c:v>-9.6345834844363196E-3</c:v>
                </c:pt>
                <c:pt idx="946">
                  <c:v>-3.1058092325682647E-3</c:v>
                </c:pt>
                <c:pt idx="947">
                  <c:v>1.1766153885765089E-2</c:v>
                </c:pt>
                <c:pt idx="948">
                  <c:v>-7.602005078805537E-3</c:v>
                </c:pt>
                <c:pt idx="949">
                  <c:v>3.7706012139948329E-3</c:v>
                </c:pt>
                <c:pt idx="950">
                  <c:v>-4.2618437533547739E-3</c:v>
                </c:pt>
                <c:pt idx="951">
                  <c:v>-3.7802895454220627E-4</c:v>
                </c:pt>
                <c:pt idx="952">
                  <c:v>-1.1331369029670978E-2</c:v>
                </c:pt>
                <c:pt idx="953">
                  <c:v>-3.4476188142327953E-3</c:v>
                </c:pt>
                <c:pt idx="954">
                  <c:v>5.5868577505378105E-3</c:v>
                </c:pt>
                <c:pt idx="955">
                  <c:v>1.4020160169731887E-2</c:v>
                </c:pt>
                <c:pt idx="956">
                  <c:v>-3.6943716604866234E-3</c:v>
                </c:pt>
                <c:pt idx="957">
                  <c:v>5.1231384715043505E-3</c:v>
                </c:pt>
                <c:pt idx="958">
                  <c:v>4.7232152458107166E-3</c:v>
                </c:pt>
                <c:pt idx="959">
                  <c:v>6.337393065017404E-3</c:v>
                </c:pt>
                <c:pt idx="960">
                  <c:v>8.4001276135835298E-3</c:v>
                </c:pt>
                <c:pt idx="961">
                  <c:v>3.4579737223619676E-3</c:v>
                </c:pt>
                <c:pt idx="962">
                  <c:v>7.7186026310139128E-3</c:v>
                </c:pt>
                <c:pt idx="963">
                  <c:v>-1.0918677200949221E-2</c:v>
                </c:pt>
                <c:pt idx="964">
                  <c:v>7.5239379159915531E-3</c:v>
                </c:pt>
                <c:pt idx="965">
                  <c:v>2.1914615637027659E-3</c:v>
                </c:pt>
                <c:pt idx="966">
                  <c:v>7.2942126259476002E-4</c:v>
                </c:pt>
                <c:pt idx="967">
                  <c:v>9.2537814571629334E-3</c:v>
                </c:pt>
                <c:pt idx="968">
                  <c:v>7.2343161372402948E-3</c:v>
                </c:pt>
                <c:pt idx="969">
                  <c:v>-1.8166509123427009E-2</c:v>
                </c:pt>
                <c:pt idx="970">
                  <c:v>1.095688511384859E-4</c:v>
                </c:pt>
                <c:pt idx="971">
                  <c:v>-9.1329208343201608E-4</c:v>
                </c:pt>
                <c:pt idx="972">
                  <c:v>1.5338367843668287E-3</c:v>
                </c:pt>
                <c:pt idx="973">
                  <c:v>-2.688819289182318E-2</c:v>
                </c:pt>
                <c:pt idx="974">
                  <c:v>1.1479740190580862E-2</c:v>
                </c:pt>
                <c:pt idx="975">
                  <c:v>-4.0475751210939112E-3</c:v>
                </c:pt>
                <c:pt idx="976">
                  <c:v>-2.8801526365626901E-2</c:v>
                </c:pt>
                <c:pt idx="977">
                  <c:v>-4.2984220607178896E-3</c:v>
                </c:pt>
                <c:pt idx="978">
                  <c:v>-7.4119977188659798E-3</c:v>
                </c:pt>
                <c:pt idx="979">
                  <c:v>-4.8942019061207313E-3</c:v>
                </c:pt>
                <c:pt idx="980">
                  <c:v>-9.7391855905345874E-4</c:v>
                </c:pt>
                <c:pt idx="981">
                  <c:v>1.7348790536743833E-2</c:v>
                </c:pt>
                <c:pt idx="982">
                  <c:v>6.3004960066535718E-3</c:v>
                </c:pt>
                <c:pt idx="983">
                  <c:v>7.9995320984941332E-3</c:v>
                </c:pt>
                <c:pt idx="984">
                  <c:v>8.9845711851382487E-3</c:v>
                </c:pt>
                <c:pt idx="985">
                  <c:v>1.4046981134497769E-2</c:v>
                </c:pt>
                <c:pt idx="986">
                  <c:v>-3.4959481903407377E-2</c:v>
                </c:pt>
                <c:pt idx="987">
                  <c:v>1.336617767776714E-3</c:v>
                </c:pt>
                <c:pt idx="988">
                  <c:v>7.4521669912282042E-3</c:v>
                </c:pt>
                <c:pt idx="989">
                  <c:v>6.4566661171555654E-3</c:v>
                </c:pt>
                <c:pt idx="990">
                  <c:v>-8.3524732312347631E-3</c:v>
                </c:pt>
                <c:pt idx="991">
                  <c:v>3.7124253183831268E-3</c:v>
                </c:pt>
                <c:pt idx="992">
                  <c:v>3.4349746546976641E-3</c:v>
                </c:pt>
                <c:pt idx="993">
                  <c:v>-1.0302322170881693E-2</c:v>
                </c:pt>
                <c:pt idx="994">
                  <c:v>4.5582391295282557E-3</c:v>
                </c:pt>
                <c:pt idx="995">
                  <c:v>9.9179863380868399E-3</c:v>
                </c:pt>
                <c:pt idx="996">
                  <c:v>1.2196028210303023E-2</c:v>
                </c:pt>
                <c:pt idx="997">
                  <c:v>1.3330075570755336E-2</c:v>
                </c:pt>
                <c:pt idx="998">
                  <c:v>-1.7081207143532985E-2</c:v>
                </c:pt>
                <c:pt idx="999">
                  <c:v>-1.1790161839593786E-2</c:v>
                </c:pt>
                <c:pt idx="1000">
                  <c:v>-1.7334660635325901E-3</c:v>
                </c:pt>
                <c:pt idx="1001">
                  <c:v>-2.6436060028242501E-3</c:v>
                </c:pt>
                <c:pt idx="1002">
                  <c:v>-2.9918795594432402E-3</c:v>
                </c:pt>
                <c:pt idx="1003">
                  <c:v>-1.6945362817807692E-2</c:v>
                </c:pt>
                <c:pt idx="1004">
                  <c:v>1.398249166131256E-2</c:v>
                </c:pt>
                <c:pt idx="1005">
                  <c:v>-6.2583308037495577E-3</c:v>
                </c:pt>
                <c:pt idx="1006">
                  <c:v>2.9432397448627299E-3</c:v>
                </c:pt>
                <c:pt idx="1007">
                  <c:v>7.1499690974858952E-3</c:v>
                </c:pt>
                <c:pt idx="1008">
                  <c:v>-8.219261513672152E-3</c:v>
                </c:pt>
                <c:pt idx="1009">
                  <c:v>-4.2501369327917057E-3</c:v>
                </c:pt>
                <c:pt idx="1010">
                  <c:v>8.8247104117804686E-3</c:v>
                </c:pt>
                <c:pt idx="1011">
                  <c:v>1.1232867866452192E-2</c:v>
                </c:pt>
                <c:pt idx="1012">
                  <c:v>-5.2414013919973483E-3</c:v>
                </c:pt>
                <c:pt idx="1013">
                  <c:v>-2.4984295005021796E-3</c:v>
                </c:pt>
                <c:pt idx="1014">
                  <c:v>6.9120969177432941E-3</c:v>
                </c:pt>
                <c:pt idx="1015">
                  <c:v>2.9316900271960217E-3</c:v>
                </c:pt>
                <c:pt idx="1016">
                  <c:v>7.2172961236729553E-3</c:v>
                </c:pt>
                <c:pt idx="1017">
                  <c:v>9.1612572374435413E-3</c:v>
                </c:pt>
                <c:pt idx="1018">
                  <c:v>-1.3006500709167285E-2</c:v>
                </c:pt>
                <c:pt idx="1019">
                  <c:v>1.495047933117684E-3</c:v>
                </c:pt>
                <c:pt idx="1020">
                  <c:v>1.2987195526811112E-2</c:v>
                </c:pt>
                <c:pt idx="1021">
                  <c:v>1.2420208736854522E-2</c:v>
                </c:pt>
                <c:pt idx="1022">
                  <c:v>-7.6487647719702099E-4</c:v>
                </c:pt>
                <c:pt idx="1023">
                  <c:v>3.8913914786424851E-3</c:v>
                </c:pt>
                <c:pt idx="1024">
                  <c:v>4.5631113231767526E-3</c:v>
                </c:pt>
                <c:pt idx="1025">
                  <c:v>-1.6272807543716752E-3</c:v>
                </c:pt>
                <c:pt idx="1026">
                  <c:v>5.1259771457510843E-3</c:v>
                </c:pt>
                <c:pt idx="1027">
                  <c:v>-1.4434155176814617E-2</c:v>
                </c:pt>
                <c:pt idx="1028">
                  <c:v>1.0646340249542608E-2</c:v>
                </c:pt>
                <c:pt idx="1029">
                  <c:v>8.3095753160667405E-4</c:v>
                </c:pt>
                <c:pt idx="1030">
                  <c:v>1.9277756347583747E-2</c:v>
                </c:pt>
                <c:pt idx="1031">
                  <c:v>-3.7263817408137866E-3</c:v>
                </c:pt>
                <c:pt idx="1032">
                  <c:v>7.5800528402683734E-3</c:v>
                </c:pt>
                <c:pt idx="1033">
                  <c:v>6.8224159163659407E-3</c:v>
                </c:pt>
                <c:pt idx="1034">
                  <c:v>6.393163440626415E-3</c:v>
                </c:pt>
                <c:pt idx="1035">
                  <c:v>-5.4473552504613887E-3</c:v>
                </c:pt>
                <c:pt idx="1036">
                  <c:v>3.9487929743871704E-3</c:v>
                </c:pt>
                <c:pt idx="1037">
                  <c:v>1.6258833046568513E-2</c:v>
                </c:pt>
                <c:pt idx="1038">
                  <c:v>-6.1785160647469034E-4</c:v>
                </c:pt>
                <c:pt idx="1039">
                  <c:v>-1.2024393787544148E-3</c:v>
                </c:pt>
                <c:pt idx="1040">
                  <c:v>5.7927127743943657E-3</c:v>
                </c:pt>
                <c:pt idx="1041">
                  <c:v>-1.4562544873085503E-2</c:v>
                </c:pt>
                <c:pt idx="1042">
                  <c:v>1.6508834966771479E-2</c:v>
                </c:pt>
                <c:pt idx="1043">
                  <c:v>-4.1703001175996731E-3</c:v>
                </c:pt>
                <c:pt idx="1044">
                  <c:v>7.0314990870447855E-3</c:v>
                </c:pt>
                <c:pt idx="1045">
                  <c:v>-8.1662666300731808E-4</c:v>
                </c:pt>
                <c:pt idx="1046">
                  <c:v>3.5000646341924579E-3</c:v>
                </c:pt>
                <c:pt idx="1047">
                  <c:v>-1.4831760871325241E-2</c:v>
                </c:pt>
                <c:pt idx="1048">
                  <c:v>4.2258832321174136E-3</c:v>
                </c:pt>
                <c:pt idx="1049">
                  <c:v>-1.1586370186078948E-2</c:v>
                </c:pt>
                <c:pt idx="1050">
                  <c:v>-1.6224097946286358E-2</c:v>
                </c:pt>
                <c:pt idx="1051">
                  <c:v>1.864901343751476E-2</c:v>
                </c:pt>
                <c:pt idx="1052">
                  <c:v>6.6899612663868704E-3</c:v>
                </c:pt>
                <c:pt idx="1053">
                  <c:v>1.9570989537602982E-3</c:v>
                </c:pt>
                <c:pt idx="1054">
                  <c:v>4.4584057237097519E-4</c:v>
                </c:pt>
                <c:pt idx="1055">
                  <c:v>-4.0884898428904092E-3</c:v>
                </c:pt>
                <c:pt idx="1056">
                  <c:v>-4.7276349031359147E-3</c:v>
                </c:pt>
                <c:pt idx="1057">
                  <c:v>7.5466519578201406E-3</c:v>
                </c:pt>
                <c:pt idx="1058">
                  <c:v>8.9543302711225983E-3</c:v>
                </c:pt>
                <c:pt idx="1059">
                  <c:v>1.5261784579635519E-2</c:v>
                </c:pt>
                <c:pt idx="1060">
                  <c:v>3.4120428795928219E-3</c:v>
                </c:pt>
                <c:pt idx="1061">
                  <c:v>1.8350159457296321E-3</c:v>
                </c:pt>
                <c:pt idx="1062">
                  <c:v>1.1632116405335577E-2</c:v>
                </c:pt>
                <c:pt idx="1063">
                  <c:v>2.6348367390129166E-4</c:v>
                </c:pt>
                <c:pt idx="1064">
                  <c:v>1.3496266707838649E-3</c:v>
                </c:pt>
                <c:pt idx="1065">
                  <c:v>-7.1969043937131737E-3</c:v>
                </c:pt>
                <c:pt idx="1066">
                  <c:v>-1.6911295043418105E-3</c:v>
                </c:pt>
                <c:pt idx="1067">
                  <c:v>3.5117493782604987E-3</c:v>
                </c:pt>
                <c:pt idx="1068">
                  <c:v>-9.2646299052465142E-4</c:v>
                </c:pt>
                <c:pt idx="1069">
                  <c:v>1.2925489441903849E-2</c:v>
                </c:pt>
                <c:pt idx="1070">
                  <c:v>8.5575055020983091E-3</c:v>
                </c:pt>
                <c:pt idx="1071">
                  <c:v>1.169228804819296E-2</c:v>
                </c:pt>
                <c:pt idx="1072">
                  <c:v>-1.2497066576345498E-3</c:v>
                </c:pt>
                <c:pt idx="1073">
                  <c:v>6.7105769351938818E-3</c:v>
                </c:pt>
                <c:pt idx="1074">
                  <c:v>-1.3757020186500003E-2</c:v>
                </c:pt>
                <c:pt idx="1075">
                  <c:v>-2.7829591053418579E-2</c:v>
                </c:pt>
                <c:pt idx="1076">
                  <c:v>-2.0358542145219389E-2</c:v>
                </c:pt>
                <c:pt idx="1077">
                  <c:v>5.7772864227977104E-3</c:v>
                </c:pt>
                <c:pt idx="1078">
                  <c:v>2.9247416271417508E-2</c:v>
                </c:pt>
                <c:pt idx="1079">
                  <c:v>3.1781399464090879E-2</c:v>
                </c:pt>
                <c:pt idx="1080">
                  <c:v>2.1012470970354798E-2</c:v>
                </c:pt>
                <c:pt idx="1081">
                  <c:v>-5.4146397557367498E-3</c:v>
                </c:pt>
                <c:pt idx="1082">
                  <c:v>4.3278349931827071E-3</c:v>
                </c:pt>
                <c:pt idx="1083">
                  <c:v>3.2973254571937123E-2</c:v>
                </c:pt>
                <c:pt idx="1084">
                  <c:v>-5.3954424898931567E-3</c:v>
                </c:pt>
                <c:pt idx="1085">
                  <c:v>2.7455364179699741E-2</c:v>
                </c:pt>
                <c:pt idx="1086">
                  <c:v>-3.729596062718759E-2</c:v>
                </c:pt>
                <c:pt idx="1087">
                  <c:v>1.6857972511505684E-2</c:v>
                </c:pt>
                <c:pt idx="1088">
                  <c:v>-1.499789191023496E-2</c:v>
                </c:pt>
                <c:pt idx="1089">
                  <c:v>1.5147940676365497E-2</c:v>
                </c:pt>
                <c:pt idx="1090">
                  <c:v>-4.1194865501492824E-3</c:v>
                </c:pt>
                <c:pt idx="1091">
                  <c:v>-4.1668132169278751E-3</c:v>
                </c:pt>
                <c:pt idx="1092">
                  <c:v>-2.9165536161725059E-2</c:v>
                </c:pt>
                <c:pt idx="1093">
                  <c:v>6.7992322278356476E-3</c:v>
                </c:pt>
                <c:pt idx="1094">
                  <c:v>2.4270706904035648E-2</c:v>
                </c:pt>
                <c:pt idx="1095">
                  <c:v>2.9781859324395553E-2</c:v>
                </c:pt>
                <c:pt idx="1096">
                  <c:v>-8.8329395578821916E-3</c:v>
                </c:pt>
                <c:pt idx="1097">
                  <c:v>-2.5398132101867026E-2</c:v>
                </c:pt>
                <c:pt idx="1098">
                  <c:v>1.1700918988177024E-2</c:v>
                </c:pt>
                <c:pt idx="1099">
                  <c:v>-3.5211223370302219E-2</c:v>
                </c:pt>
                <c:pt idx="1100">
                  <c:v>6.2845736230977426E-3</c:v>
                </c:pt>
                <c:pt idx="1101">
                  <c:v>-1.8344612393290653E-2</c:v>
                </c:pt>
                <c:pt idx="1102">
                  <c:v>1.2277391287757004E-2</c:v>
                </c:pt>
                <c:pt idx="1103">
                  <c:v>-1.2088782158285714E-2</c:v>
                </c:pt>
                <c:pt idx="1104">
                  <c:v>1.4631561796196542E-2</c:v>
                </c:pt>
                <c:pt idx="1105">
                  <c:v>1.5793404801633753E-2</c:v>
                </c:pt>
                <c:pt idx="1106">
                  <c:v>8.8018049027029071E-3</c:v>
                </c:pt>
                <c:pt idx="1107">
                  <c:v>-5.1502779102344243E-3</c:v>
                </c:pt>
                <c:pt idx="1108">
                  <c:v>2.1425434503964738E-2</c:v>
                </c:pt>
                <c:pt idx="1109">
                  <c:v>-1.9362124406121534E-2</c:v>
                </c:pt>
                <c:pt idx="1110">
                  <c:v>-1.6685124798728683E-3</c:v>
                </c:pt>
                <c:pt idx="1111">
                  <c:v>7.109715550713264E-3</c:v>
                </c:pt>
                <c:pt idx="1112">
                  <c:v>-8.5378040007891356E-3</c:v>
                </c:pt>
                <c:pt idx="1113">
                  <c:v>2.4537666358951219E-2</c:v>
                </c:pt>
                <c:pt idx="1114">
                  <c:v>-6.070768059979941E-3</c:v>
                </c:pt>
                <c:pt idx="1115">
                  <c:v>6.9307501125834836E-3</c:v>
                </c:pt>
                <c:pt idx="1116">
                  <c:v>-6.7815164251042474E-3</c:v>
                </c:pt>
                <c:pt idx="1117">
                  <c:v>-8.3915739261592459E-3</c:v>
                </c:pt>
                <c:pt idx="1118">
                  <c:v>2.8250744326858415E-3</c:v>
                </c:pt>
                <c:pt idx="1119">
                  <c:v>-3.3669640443006869E-3</c:v>
                </c:pt>
                <c:pt idx="1120">
                  <c:v>1.20486130438958E-4</c:v>
                </c:pt>
                <c:pt idx="1121">
                  <c:v>1.7785630102534412E-2</c:v>
                </c:pt>
                <c:pt idx="1122">
                  <c:v>1.4768122634469274E-2</c:v>
                </c:pt>
                <c:pt idx="1123">
                  <c:v>-1.0194021599707037E-2</c:v>
                </c:pt>
                <c:pt idx="1124">
                  <c:v>-2.8895213050230267E-3</c:v>
                </c:pt>
                <c:pt idx="1125">
                  <c:v>9.444399210661637E-4</c:v>
                </c:pt>
                <c:pt idx="1126">
                  <c:v>-6.4221208610746846E-3</c:v>
                </c:pt>
                <c:pt idx="1127">
                  <c:v>2.8461738938607515E-3</c:v>
                </c:pt>
                <c:pt idx="1128">
                  <c:v>-1.8013675886811464E-2</c:v>
                </c:pt>
                <c:pt idx="1129">
                  <c:v>2.9197688926843124E-3</c:v>
                </c:pt>
                <c:pt idx="1130">
                  <c:v>1.9217200310753606E-3</c:v>
                </c:pt>
                <c:pt idx="1131">
                  <c:v>-1.8101974273062114E-2</c:v>
                </c:pt>
                <c:pt idx="1132">
                  <c:v>6.303198845365553E-3</c:v>
                </c:pt>
                <c:pt idx="1133">
                  <c:v>1.2758252337171075E-2</c:v>
                </c:pt>
                <c:pt idx="1134">
                  <c:v>3.3808726417766822E-3</c:v>
                </c:pt>
                <c:pt idx="1135">
                  <c:v>-4.9104542360636164E-3</c:v>
                </c:pt>
                <c:pt idx="1136">
                  <c:v>2.7007467956151749E-4</c:v>
                </c:pt>
                <c:pt idx="1137">
                  <c:v>-9.0041211315133185E-5</c:v>
                </c:pt>
                <c:pt idx="1138">
                  <c:v>-7.5912978597557877E-3</c:v>
                </c:pt>
                <c:pt idx="1139">
                  <c:v>1.3900517720019155E-3</c:v>
                </c:pt>
                <c:pt idx="1140">
                  <c:v>1.7498283805606845E-3</c:v>
                </c:pt>
                <c:pt idx="1141">
                  <c:v>1.1568474452741711E-2</c:v>
                </c:pt>
                <c:pt idx="1142">
                  <c:v>-1.3417817890844313E-3</c:v>
                </c:pt>
                <c:pt idx="1143">
                  <c:v>-6.4957500232793253E-3</c:v>
                </c:pt>
                <c:pt idx="1144">
                  <c:v>6.7940793811005632E-3</c:v>
                </c:pt>
                <c:pt idx="1145">
                  <c:v>-3.7055602760010316E-3</c:v>
                </c:pt>
                <c:pt idx="1146">
                  <c:v>3.8546915863960779E-3</c:v>
                </c:pt>
                <c:pt idx="1147">
                  <c:v>1.447860287732854E-2</c:v>
                </c:pt>
                <c:pt idx="1148">
                  <c:v>1.0904801640990577E-2</c:v>
                </c:pt>
                <c:pt idx="1149">
                  <c:v>-1.3200213092493647E-2</c:v>
                </c:pt>
                <c:pt idx="1150">
                  <c:v>-6.8292226579931723E-3</c:v>
                </c:pt>
                <c:pt idx="1151">
                  <c:v>-1.1036651923321424E-2</c:v>
                </c:pt>
                <c:pt idx="1152">
                  <c:v>-7.4965057238816635E-3</c:v>
                </c:pt>
                <c:pt idx="1153">
                  <c:v>4.3120472958143976E-3</c:v>
                </c:pt>
                <c:pt idx="1154">
                  <c:v>-8.3393804907852323E-3</c:v>
                </c:pt>
                <c:pt idx="1155">
                  <c:v>-7.8922379457010017E-4</c:v>
                </c:pt>
                <c:pt idx="1156">
                  <c:v>1.641380667687466E-2</c:v>
                </c:pt>
                <c:pt idx="1157">
                  <c:v>7.9439735099882548E-3</c:v>
                </c:pt>
                <c:pt idx="1158">
                  <c:v>2.2201510582657955E-3</c:v>
                </c:pt>
                <c:pt idx="1159">
                  <c:v>-5.6194336538091267E-4</c:v>
                </c:pt>
                <c:pt idx="1160">
                  <c:v>5.9879678887474761E-3</c:v>
                </c:pt>
                <c:pt idx="1161">
                  <c:v>1.134616025997749E-2</c:v>
                </c:pt>
                <c:pt idx="1162">
                  <c:v>-2.5324517441945554E-2</c:v>
                </c:pt>
                <c:pt idx="1163">
                  <c:v>-1.2534156557426127E-3</c:v>
                </c:pt>
                <c:pt idx="1164">
                  <c:v>2.9220752624799888E-3</c:v>
                </c:pt>
                <c:pt idx="1165">
                  <c:v>-7.0213468642332851E-3</c:v>
                </c:pt>
                <c:pt idx="1166">
                  <c:v>2.398515522892742E-4</c:v>
                </c:pt>
                <c:pt idx="1167">
                  <c:v>-1.2898149154139478E-3</c:v>
                </c:pt>
                <c:pt idx="1168">
                  <c:v>-5.5078465319110641E-3</c:v>
                </c:pt>
                <c:pt idx="1169">
                  <c:v>9.0134010285528431E-3</c:v>
                </c:pt>
                <c:pt idx="1170">
                  <c:v>-1.9460210593331287E-3</c:v>
                </c:pt>
                <c:pt idx="1171">
                  <c:v>1.1175298783647576E-2</c:v>
                </c:pt>
                <c:pt idx="1172">
                  <c:v>-1.7778178523024962E-4</c:v>
                </c:pt>
                <c:pt idx="1173">
                  <c:v>4.3771655441112271E-3</c:v>
                </c:pt>
                <c:pt idx="1174">
                  <c:v>4.7106015210283785E-3</c:v>
                </c:pt>
                <c:pt idx="1175">
                  <c:v>7.9574320155700335E-3</c:v>
                </c:pt>
                <c:pt idx="1176">
                  <c:v>1.2135375150160638E-2</c:v>
                </c:pt>
                <c:pt idx="1177">
                  <c:v>2.155825335719171E-2</c:v>
                </c:pt>
                <c:pt idx="1178">
                  <c:v>1.2264609179004047E-2</c:v>
                </c:pt>
                <c:pt idx="1179">
                  <c:v>-7.6547104718895616E-3</c:v>
                </c:pt>
                <c:pt idx="1180">
                  <c:v>1.3205346467745164E-2</c:v>
                </c:pt>
                <c:pt idx="1181">
                  <c:v>6.8678014116357704E-3</c:v>
                </c:pt>
                <c:pt idx="1182">
                  <c:v>1.4282835584511465E-3</c:v>
                </c:pt>
                <c:pt idx="1183">
                  <c:v>8.2352940828917364E-5</c:v>
                </c:pt>
                <c:pt idx="1184">
                  <c:v>-1.840587103648067E-3</c:v>
                </c:pt>
                <c:pt idx="1185">
                  <c:v>3.4311001737597525E-3</c:v>
                </c:pt>
                <c:pt idx="1186">
                  <c:v>8.947642619622902E-3</c:v>
                </c:pt>
                <c:pt idx="1187">
                  <c:v>1.8178977764950366E-3</c:v>
                </c:pt>
                <c:pt idx="1188">
                  <c:v>-1.9265078645296421E-3</c:v>
                </c:pt>
                <c:pt idx="1189">
                  <c:v>-1.040214079746196E-2</c:v>
                </c:pt>
                <c:pt idx="1190">
                  <c:v>7.6006624146401228E-3</c:v>
                </c:pt>
                <c:pt idx="1191">
                  <c:v>1.8672448725779663E-2</c:v>
                </c:pt>
                <c:pt idx="1192">
                  <c:v>1.0610006389506373E-2</c:v>
                </c:pt>
                <c:pt idx="1193">
                  <c:v>-1.2911648948105771E-2</c:v>
                </c:pt>
                <c:pt idx="1194">
                  <c:v>1.285260502940439E-3</c:v>
                </c:pt>
                <c:pt idx="1195">
                  <c:v>1.0223498096000606E-2</c:v>
                </c:pt>
                <c:pt idx="1196">
                  <c:v>1.2006108728818521E-2</c:v>
                </c:pt>
                <c:pt idx="1197">
                  <c:v>5.1947195431346644E-3</c:v>
                </c:pt>
                <c:pt idx="1198">
                  <c:v>6.9276125174816284E-3</c:v>
                </c:pt>
                <c:pt idx="1199">
                  <c:v>-7.2140776340165556E-3</c:v>
                </c:pt>
                <c:pt idx="1200">
                  <c:v>1.0647104699776156E-2</c:v>
                </c:pt>
                <c:pt idx="1201">
                  <c:v>1.7294429424654912E-2</c:v>
                </c:pt>
                <c:pt idx="1202">
                  <c:v>7.0914474440700913E-3</c:v>
                </c:pt>
                <c:pt idx="1203">
                  <c:v>1.6633994907520277E-2</c:v>
                </c:pt>
                <c:pt idx="1204">
                  <c:v>-2.4282758867578195E-2</c:v>
                </c:pt>
                <c:pt idx="1205">
                  <c:v>7.4726695710458178E-3</c:v>
                </c:pt>
                <c:pt idx="1206">
                  <c:v>3.2831248634458091E-2</c:v>
                </c:pt>
                <c:pt idx="1207">
                  <c:v>7.2994144107656573E-3</c:v>
                </c:pt>
                <c:pt idx="1208">
                  <c:v>9.1875451653533977E-3</c:v>
                </c:pt>
                <c:pt idx="1209">
                  <c:v>2.4430461884398309E-2</c:v>
                </c:pt>
                <c:pt idx="1210">
                  <c:v>-2.1322939112277551E-2</c:v>
                </c:pt>
                <c:pt idx="1211">
                  <c:v>3.436764429162454E-2</c:v>
                </c:pt>
                <c:pt idx="1212">
                  <c:v>-5.9062035540049886E-2</c:v>
                </c:pt>
                <c:pt idx="1213">
                  <c:v>-1.0649268655763889E-2</c:v>
                </c:pt>
                <c:pt idx="1214">
                  <c:v>1.9854040473195667E-2</c:v>
                </c:pt>
                <c:pt idx="1215">
                  <c:v>-1.7225098547725875E-3</c:v>
                </c:pt>
                <c:pt idx="1216">
                  <c:v>-2.8695490766858036E-2</c:v>
                </c:pt>
                <c:pt idx="1217">
                  <c:v>-8.9607787820975386E-3</c:v>
                </c:pt>
                <c:pt idx="1218">
                  <c:v>4.4025782667433981E-3</c:v>
                </c:pt>
                <c:pt idx="1219">
                  <c:v>4.4082970966196717E-3</c:v>
                </c:pt>
                <c:pt idx="1220">
                  <c:v>-4.7849023856938715E-3</c:v>
                </c:pt>
                <c:pt idx="1221">
                  <c:v>4.5349523774452045E-3</c:v>
                </c:pt>
                <c:pt idx="1222">
                  <c:v>-1.3236252040332198E-2</c:v>
                </c:pt>
                <c:pt idx="1223">
                  <c:v>8.2240871342075354E-3</c:v>
                </c:pt>
                <c:pt idx="1224">
                  <c:v>-1.005367923334668E-4</c:v>
                </c:pt>
                <c:pt idx="1225">
                  <c:v>4.8876566358512907E-3</c:v>
                </c:pt>
                <c:pt idx="1226">
                  <c:v>2.7716515886168476E-2</c:v>
                </c:pt>
                <c:pt idx="1227">
                  <c:v>-1.2167524528548244E-3</c:v>
                </c:pt>
                <c:pt idx="1228">
                  <c:v>2.3487483855553541E-2</c:v>
                </c:pt>
                <c:pt idx="1229">
                  <c:v>-4.1709927611227639E-3</c:v>
                </c:pt>
                <c:pt idx="1230">
                  <c:v>-2.4002555332014903E-2</c:v>
                </c:pt>
                <c:pt idx="1231">
                  <c:v>-4.7327908648018505E-3</c:v>
                </c:pt>
                <c:pt idx="1232">
                  <c:v>-1.7221023533426794E-3</c:v>
                </c:pt>
                <c:pt idx="1233">
                  <c:v>4.0299605698671222E-3</c:v>
                </c:pt>
                <c:pt idx="1234">
                  <c:v>-5.2125591455094164E-3</c:v>
                </c:pt>
                <c:pt idx="1235">
                  <c:v>4.9672927820763558E-3</c:v>
                </c:pt>
                <c:pt idx="1236">
                  <c:v>3.7215603622990662E-3</c:v>
                </c:pt>
                <c:pt idx="1237">
                  <c:v>1.1493193638318831E-2</c:v>
                </c:pt>
                <c:pt idx="1238">
                  <c:v>6.2617609294315637E-3</c:v>
                </c:pt>
                <c:pt idx="1239">
                  <c:v>1.2667816416397979E-2</c:v>
                </c:pt>
                <c:pt idx="1240">
                  <c:v>4.9659582212904707E-3</c:v>
                </c:pt>
                <c:pt idx="1241">
                  <c:v>-1.2509143198605851E-2</c:v>
                </c:pt>
                <c:pt idx="1242">
                  <c:v>3.0288262173034956E-3</c:v>
                </c:pt>
                <c:pt idx="1243">
                  <c:v>2.9722651693542806E-3</c:v>
                </c:pt>
                <c:pt idx="1244">
                  <c:v>2.6116008896670296E-4</c:v>
                </c:pt>
                <c:pt idx="1245">
                  <c:v>-6.1189240409394172E-3</c:v>
                </c:pt>
                <c:pt idx="1246">
                  <c:v>4.6462393338665645E-3</c:v>
                </c:pt>
                <c:pt idx="1247">
                  <c:v>-2.4515471689845261E-3</c:v>
                </c:pt>
                <c:pt idx="1248">
                  <c:v>2.1010239753042382E-2</c:v>
                </c:pt>
                <c:pt idx="1249">
                  <c:v>3.4010695964849522E-3</c:v>
                </c:pt>
                <c:pt idx="1250">
                  <c:v>1.5336939920357251E-3</c:v>
                </c:pt>
                <c:pt idx="1251">
                  <c:v>-5.1100782944880018E-4</c:v>
                </c:pt>
                <c:pt idx="1252">
                  <c:v>9.939980130428714E-3</c:v>
                </c:pt>
                <c:pt idx="1253">
                  <c:v>-1.8418331441386099E-3</c:v>
                </c:pt>
                <c:pt idx="1254">
                  <c:v>5.0339502433122251E-3</c:v>
                </c:pt>
                <c:pt idx="1255">
                  <c:v>1.8896813791643464E-2</c:v>
                </c:pt>
              </c:numCache>
            </c:numRef>
          </c:xVal>
          <c:yVal>
            <c:numRef>
              <c:f>Calculs!$E$3:$E$1258</c:f>
              <c:numCache>
                <c:formatCode>0.00%</c:formatCode>
                <c:ptCount val="1256"/>
                <c:pt idx="0">
                  <c:v>-2.6842172539949766E-3</c:v>
                </c:pt>
                <c:pt idx="1">
                  <c:v>-4.504518264179405E-5</c:v>
                </c:pt>
                <c:pt idx="2">
                  <c:v>-3.3730872580047372E-3</c:v>
                </c:pt>
                <c:pt idx="3">
                  <c:v>2.9226798954953507E-3</c:v>
                </c:pt>
                <c:pt idx="4">
                  <c:v>4.7393246442810977E-3</c:v>
                </c:pt>
                <c:pt idx="5">
                  <c:v>2.8544543360105169E-3</c:v>
                </c:pt>
                <c:pt idx="6">
                  <c:v>-1.7226675086255815E-3</c:v>
                </c:pt>
                <c:pt idx="7">
                  <c:v>2.1083959403084629E-3</c:v>
                </c:pt>
                <c:pt idx="8">
                  <c:v>3.4784034215379019E-3</c:v>
                </c:pt>
                <c:pt idx="9">
                  <c:v>1.2530126451904057E-4</c:v>
                </c:pt>
                <c:pt idx="10">
                  <c:v>-8.0308260149412058E-3</c:v>
                </c:pt>
                <c:pt idx="11">
                  <c:v>-2.8091151824884159E-3</c:v>
                </c:pt>
                <c:pt idx="12">
                  <c:v>-2.228157397196721E-3</c:v>
                </c:pt>
                <c:pt idx="13">
                  <c:v>4.1903114269029491E-3</c:v>
                </c:pt>
                <c:pt idx="14">
                  <c:v>-1.1281444217933535E-3</c:v>
                </c:pt>
                <c:pt idx="15">
                  <c:v>-1.5209822932973017E-3</c:v>
                </c:pt>
                <c:pt idx="16">
                  <c:v>-2.9789781107125101E-3</c:v>
                </c:pt>
                <c:pt idx="17">
                  <c:v>3.2604496166012248E-3</c:v>
                </c:pt>
                <c:pt idx="18">
                  <c:v>-1.4404145034668172E-3</c:v>
                </c:pt>
                <c:pt idx="19">
                  <c:v>4.4178255828955211E-3</c:v>
                </c:pt>
                <c:pt idx="20">
                  <c:v>4.18081436466814E-5</c:v>
                </c:pt>
                <c:pt idx="21">
                  <c:v>-3.0417049564658107E-3</c:v>
                </c:pt>
                <c:pt idx="22">
                  <c:v>1.4875639437972651E-3</c:v>
                </c:pt>
                <c:pt idx="23">
                  <c:v>-2.4780453011286159E-3</c:v>
                </c:pt>
                <c:pt idx="24">
                  <c:v>3.2741311873759623E-4</c:v>
                </c:pt>
                <c:pt idx="25">
                  <c:v>-3.0910594520995966E-3</c:v>
                </c:pt>
                <c:pt idx="26">
                  <c:v>-5.7276411294747611E-3</c:v>
                </c:pt>
                <c:pt idx="27">
                  <c:v>-1.1370860209447178E-3</c:v>
                </c:pt>
                <c:pt idx="28">
                  <c:v>-9.3550465107428388E-4</c:v>
                </c:pt>
                <c:pt idx="29">
                  <c:v>-6.3139722368651474E-3</c:v>
                </c:pt>
                <c:pt idx="30">
                  <c:v>5.601762168869857E-3</c:v>
                </c:pt>
                <c:pt idx="31">
                  <c:v>4.2389556675745112E-4</c:v>
                </c:pt>
                <c:pt idx="32">
                  <c:v>6.9224235530170033E-3</c:v>
                </c:pt>
                <c:pt idx="33">
                  <c:v>2.4166921592392375E-3</c:v>
                </c:pt>
                <c:pt idx="34">
                  <c:v>1.414817114817934E-4</c:v>
                </c:pt>
                <c:pt idx="35">
                  <c:v>3.2140458701155521E-4</c:v>
                </c:pt>
                <c:pt idx="36">
                  <c:v>-3.7957370024767219E-3</c:v>
                </c:pt>
                <c:pt idx="37">
                  <c:v>-5.8181336299250302E-3</c:v>
                </c:pt>
                <c:pt idx="38">
                  <c:v>2.9204383259871696E-3</c:v>
                </c:pt>
                <c:pt idx="39">
                  <c:v>-9.8187228652610661E-4</c:v>
                </c:pt>
                <c:pt idx="40">
                  <c:v>1.1158205399144187E-3</c:v>
                </c:pt>
                <c:pt idx="41">
                  <c:v>-1.0451023908163694E-2</c:v>
                </c:pt>
                <c:pt idx="42">
                  <c:v>-1.6559152667541574E-3</c:v>
                </c:pt>
                <c:pt idx="43">
                  <c:v>1.1367895891244944E-3</c:v>
                </c:pt>
                <c:pt idx="44">
                  <c:v>-2.0188332378746369E-3</c:v>
                </c:pt>
                <c:pt idx="45">
                  <c:v>-8.2313945292115769E-3</c:v>
                </c:pt>
                <c:pt idx="46">
                  <c:v>-1.0931372489662724E-4</c:v>
                </c:pt>
                <c:pt idx="47">
                  <c:v>-5.1234700090726807E-3</c:v>
                </c:pt>
                <c:pt idx="48">
                  <c:v>-1.0362515773981488E-2</c:v>
                </c:pt>
                <c:pt idx="49">
                  <c:v>-9.8952157065079825E-4</c:v>
                </c:pt>
                <c:pt idx="50">
                  <c:v>-6.0021993708616597E-3</c:v>
                </c:pt>
                <c:pt idx="51">
                  <c:v>8.2192285584990962E-3</c:v>
                </c:pt>
                <c:pt idx="52">
                  <c:v>-1.6794048282270907E-3</c:v>
                </c:pt>
                <c:pt idx="53">
                  <c:v>5.4358401162199598E-3</c:v>
                </c:pt>
                <c:pt idx="54">
                  <c:v>-4.9678434661215116E-3</c:v>
                </c:pt>
                <c:pt idx="55">
                  <c:v>1.7933415191502071E-3</c:v>
                </c:pt>
                <c:pt idx="56">
                  <c:v>3.023158629717854E-3</c:v>
                </c:pt>
                <c:pt idx="57">
                  <c:v>2.7719611172400652E-3</c:v>
                </c:pt>
                <c:pt idx="58">
                  <c:v>-5.4931955466609927E-3</c:v>
                </c:pt>
                <c:pt idx="59">
                  <c:v>-2.9288886335839181E-3</c:v>
                </c:pt>
                <c:pt idx="60">
                  <c:v>7.3816900415153803E-3</c:v>
                </c:pt>
                <c:pt idx="61">
                  <c:v>-1.218712715522677E-2</c:v>
                </c:pt>
                <c:pt idx="62">
                  <c:v>-1.5717318443857933E-3</c:v>
                </c:pt>
                <c:pt idx="63">
                  <c:v>-3.7536828610939535E-3</c:v>
                </c:pt>
                <c:pt idx="64">
                  <c:v>-4.2568856003274187E-5</c:v>
                </c:pt>
                <c:pt idx="65">
                  <c:v>6.9204789626346221E-4</c:v>
                </c:pt>
                <c:pt idx="66">
                  <c:v>-2.9671920325410649E-3</c:v>
                </c:pt>
                <c:pt idx="67">
                  <c:v>-2.3440540165151221E-3</c:v>
                </c:pt>
                <c:pt idx="68">
                  <c:v>2.0149721020833672E-3</c:v>
                </c:pt>
                <c:pt idx="69">
                  <c:v>6.3470509551561425E-3</c:v>
                </c:pt>
                <c:pt idx="70">
                  <c:v>4.969362081026398E-3</c:v>
                </c:pt>
                <c:pt idx="71">
                  <c:v>2.2572061306426212E-3</c:v>
                </c:pt>
                <c:pt idx="72">
                  <c:v>5.5464047569529574E-3</c:v>
                </c:pt>
                <c:pt idx="73">
                  <c:v>-1.2219686945181046E-3</c:v>
                </c:pt>
                <c:pt idx="74">
                  <c:v>3.453503765900486E-3</c:v>
                </c:pt>
                <c:pt idx="75">
                  <c:v>2.1713545344101493E-3</c:v>
                </c:pt>
                <c:pt idx="76">
                  <c:v>-2.8218102769857391E-3</c:v>
                </c:pt>
                <c:pt idx="77">
                  <c:v>8.7497604309840567E-4</c:v>
                </c:pt>
                <c:pt idx="78">
                  <c:v>1.4578601364684625E-3</c:v>
                </c:pt>
                <c:pt idx="79">
                  <c:v>6.3751935817786343E-3</c:v>
                </c:pt>
                <c:pt idx="80">
                  <c:v>-1.3110679656665278E-3</c:v>
                </c:pt>
                <c:pt idx="81">
                  <c:v>-9.0579630903385021E-4</c:v>
                </c:pt>
                <c:pt idx="82">
                  <c:v>-3.3810539413613427E-4</c:v>
                </c:pt>
                <c:pt idx="83">
                  <c:v>3.4408627137830551E-3</c:v>
                </c:pt>
                <c:pt idx="84">
                  <c:v>-8.2033686262307579E-4</c:v>
                </c:pt>
                <c:pt idx="85">
                  <c:v>6.5618956101853908E-4</c:v>
                </c:pt>
                <c:pt idx="86">
                  <c:v>5.8593710065142504E-3</c:v>
                </c:pt>
                <c:pt idx="87">
                  <c:v>-3.3007667384583596E-4</c:v>
                </c:pt>
                <c:pt idx="88">
                  <c:v>-4.2812421924054442E-3</c:v>
                </c:pt>
                <c:pt idx="89">
                  <c:v>1.4908678546356698E-3</c:v>
                </c:pt>
                <c:pt idx="90">
                  <c:v>-2.0384486321564413E-3</c:v>
                </c:pt>
                <c:pt idx="91">
                  <c:v>3.1751985736686164E-4</c:v>
                </c:pt>
                <c:pt idx="92">
                  <c:v>6.0636707878167313E-3</c:v>
                </c:pt>
                <c:pt idx="93">
                  <c:v>7.8980753234049756E-3</c:v>
                </c:pt>
                <c:pt idx="94">
                  <c:v>7.7715112192781443E-5</c:v>
                </c:pt>
                <c:pt idx="95">
                  <c:v>-3.8354460390529086E-3</c:v>
                </c:pt>
                <c:pt idx="96">
                  <c:v>-5.2525637574754201E-3</c:v>
                </c:pt>
                <c:pt idx="97">
                  <c:v>2.9318487696649471E-3</c:v>
                </c:pt>
                <c:pt idx="98">
                  <c:v>5.2458698941843874E-3</c:v>
                </c:pt>
                <c:pt idx="99">
                  <c:v>-2.3607615789122071E-3</c:v>
                </c:pt>
                <c:pt idx="100">
                  <c:v>6.5528403330831365E-3</c:v>
                </c:pt>
                <c:pt idx="101">
                  <c:v>-7.3826970704855043E-3</c:v>
                </c:pt>
                <c:pt idx="102">
                  <c:v>7.5275631282530602E-3</c:v>
                </c:pt>
                <c:pt idx="103">
                  <c:v>-1.1145772837711519E-4</c:v>
                </c:pt>
                <c:pt idx="104">
                  <c:v>4.4583902096946316E-4</c:v>
                </c:pt>
                <c:pt idx="105">
                  <c:v>1.5619704934342359E-3</c:v>
                </c:pt>
                <c:pt idx="106">
                  <c:v>-2.3754389502021155E-3</c:v>
                </c:pt>
                <c:pt idx="107">
                  <c:v>7.577194019206733E-4</c:v>
                </c:pt>
                <c:pt idx="108">
                  <c:v>-1.5037854911482565E-3</c:v>
                </c:pt>
                <c:pt idx="109">
                  <c:v>1.5818616183356617E-3</c:v>
                </c:pt>
                <c:pt idx="110">
                  <c:v>-1.3591819005851422E-3</c:v>
                </c:pt>
                <c:pt idx="111">
                  <c:v>-5.8833993598854436E-3</c:v>
                </c:pt>
                <c:pt idx="112">
                  <c:v>4.8818634773981091E-3</c:v>
                </c:pt>
                <c:pt idx="113">
                  <c:v>1.7811727946864372E-3</c:v>
                </c:pt>
                <c:pt idx="114">
                  <c:v>7.8024522020419163E-4</c:v>
                </c:pt>
                <c:pt idx="115">
                  <c:v>1.3389431892760098E-3</c:v>
                </c:pt>
                <c:pt idx="116">
                  <c:v>1.0613473207485801E-3</c:v>
                </c:pt>
                <c:pt idx="117">
                  <c:v>-3.4167348263794911E-3</c:v>
                </c:pt>
                <c:pt idx="118">
                  <c:v>-1.5449736985357965E-3</c:v>
                </c:pt>
                <c:pt idx="119">
                  <c:v>6.6753489794760929E-4</c:v>
                </c:pt>
                <c:pt idx="120">
                  <c:v>-1.1101170961097053E-2</c:v>
                </c:pt>
                <c:pt idx="121">
                  <c:v>-9.9881319486640925E-3</c:v>
                </c:pt>
                <c:pt idx="122">
                  <c:v>-5.2604992725543134E-3</c:v>
                </c:pt>
                <c:pt idx="123">
                  <c:v>4.1713665074379815E-3</c:v>
                </c:pt>
                <c:pt idx="124">
                  <c:v>6.5274295459884652E-5</c:v>
                </c:pt>
                <c:pt idx="125">
                  <c:v>5.2267241193080637E-4</c:v>
                </c:pt>
                <c:pt idx="126">
                  <c:v>-2.1748307487589599E-5</c:v>
                </c:pt>
                <c:pt idx="127">
                  <c:v>1.5696241923929032E-3</c:v>
                </c:pt>
                <c:pt idx="128">
                  <c:v>-3.1803452423062838E-3</c:v>
                </c:pt>
                <c:pt idx="129">
                  <c:v>-1.4017461746322849E-3</c:v>
                </c:pt>
                <c:pt idx="130">
                  <c:v>-4.3882470649842555E-3</c:v>
                </c:pt>
                <c:pt idx="131">
                  <c:v>-1.0265325866475284E-3</c:v>
                </c:pt>
                <c:pt idx="132">
                  <c:v>4.1125327864492949E-3</c:v>
                </c:pt>
                <c:pt idx="133">
                  <c:v>-2.7832108423968371E-3</c:v>
                </c:pt>
                <c:pt idx="134">
                  <c:v>-7.8920011374781585E-4</c:v>
                </c:pt>
                <c:pt idx="135">
                  <c:v>1.1586196360533773E-2</c:v>
                </c:pt>
                <c:pt idx="136">
                  <c:v>7.6553435772254528E-4</c:v>
                </c:pt>
                <c:pt idx="137">
                  <c:v>-1.0715449999904511E-3</c:v>
                </c:pt>
                <c:pt idx="138">
                  <c:v>-4.1225559172249132E-3</c:v>
                </c:pt>
                <c:pt idx="139">
                  <c:v>4.4832374633092696E-3</c:v>
                </c:pt>
                <c:pt idx="140">
                  <c:v>-3.3942826324801162E-3</c:v>
                </c:pt>
                <c:pt idx="141">
                  <c:v>-7.9504024262775112E-4</c:v>
                </c:pt>
                <c:pt idx="142">
                  <c:v>3.2640878407198398E-5</c:v>
                </c:pt>
                <c:pt idx="143">
                  <c:v>-2.9678419199936842E-3</c:v>
                </c:pt>
                <c:pt idx="144">
                  <c:v>3.9808875570300538E-3</c:v>
                </c:pt>
                <c:pt idx="145">
                  <c:v>-1.687839698661374E-3</c:v>
                </c:pt>
                <c:pt idx="146">
                  <c:v>-4.4593669942139398E-4</c:v>
                </c:pt>
                <c:pt idx="147">
                  <c:v>4.4359813524668416E-3</c:v>
                </c:pt>
                <c:pt idx="148">
                  <c:v>1.1585685653270599E-3</c:v>
                </c:pt>
                <c:pt idx="149">
                  <c:v>5.3730911434664149E-3</c:v>
                </c:pt>
                <c:pt idx="150">
                  <c:v>4.164798569471502E-3</c:v>
                </c:pt>
                <c:pt idx="151">
                  <c:v>-2.0977750106658939E-4</c:v>
                </c:pt>
                <c:pt idx="152">
                  <c:v>7.0675990659944683E-4</c:v>
                </c:pt>
                <c:pt idx="153">
                  <c:v>1.6030186857274821E-3</c:v>
                </c:pt>
                <c:pt idx="154">
                  <c:v>-2.8505357319162871E-3</c:v>
                </c:pt>
                <c:pt idx="155">
                  <c:v>-1.1027303107316479E-4</c:v>
                </c:pt>
                <c:pt idx="156">
                  <c:v>-9.9885798512768589E-3</c:v>
                </c:pt>
                <c:pt idx="157">
                  <c:v>-5.4460381143463668E-3</c:v>
                </c:pt>
                <c:pt idx="158">
                  <c:v>-2.5602504062315332E-3</c:v>
                </c:pt>
                <c:pt idx="159">
                  <c:v>1.6265393530092958E-3</c:v>
                </c:pt>
                <c:pt idx="160">
                  <c:v>-1.7348985202299849E-3</c:v>
                </c:pt>
                <c:pt idx="161">
                  <c:v>8.3330786880558855E-3</c:v>
                </c:pt>
                <c:pt idx="162">
                  <c:v>3.1730474724543313E-3</c:v>
                </c:pt>
                <c:pt idx="163">
                  <c:v>-2.4626704210170876E-3</c:v>
                </c:pt>
                <c:pt idx="164">
                  <c:v>-3.0671705503366913E-3</c:v>
                </c:pt>
                <c:pt idx="165">
                  <c:v>-1.4810936756053017E-3</c:v>
                </c:pt>
                <c:pt idx="166">
                  <c:v>1.9607429937117458E-3</c:v>
                </c:pt>
                <c:pt idx="167">
                  <c:v>5.2694301309745622E-3</c:v>
                </c:pt>
                <c:pt idx="168">
                  <c:v>-8.7653511082942605E-4</c:v>
                </c:pt>
                <c:pt idx="169">
                  <c:v>-5.9123694622066169E-4</c:v>
                </c:pt>
                <c:pt idx="170">
                  <c:v>-4.6954062426151156E-3</c:v>
                </c:pt>
                <c:pt idx="171">
                  <c:v>7.3696536122816667E-3</c:v>
                </c:pt>
                <c:pt idx="172">
                  <c:v>-6.5413493490726702E-3</c:v>
                </c:pt>
                <c:pt idx="173">
                  <c:v>2.0518540412151321E-3</c:v>
                </c:pt>
                <c:pt idx="174">
                  <c:v>-2.3700993586269544E-4</c:v>
                </c:pt>
                <c:pt idx="175">
                  <c:v>1.1223871399325778E-3</c:v>
                </c:pt>
                <c:pt idx="176">
                  <c:v>-4.2636886439415949E-4</c:v>
                </c:pt>
                <c:pt idx="177">
                  <c:v>-4.9827641399197943E-3</c:v>
                </c:pt>
                <c:pt idx="178">
                  <c:v>-2.596036900485077E-3</c:v>
                </c:pt>
                <c:pt idx="179">
                  <c:v>5.7987228664926208E-3</c:v>
                </c:pt>
                <c:pt idx="180">
                  <c:v>-1.7769151252469224E-3</c:v>
                </c:pt>
                <c:pt idx="181">
                  <c:v>-4.1953356685247153E-3</c:v>
                </c:pt>
                <c:pt idx="182">
                  <c:v>2.0845842914961805E-3</c:v>
                </c:pt>
                <c:pt idx="183">
                  <c:v>4.0224769397362233E-4</c:v>
                </c:pt>
                <c:pt idx="184">
                  <c:v>-8.2834560347226933E-3</c:v>
                </c:pt>
                <c:pt idx="185">
                  <c:v>-5.0338688188482786E-3</c:v>
                </c:pt>
                <c:pt idx="186">
                  <c:v>4.6996383640011234E-3</c:v>
                </c:pt>
                <c:pt idx="187">
                  <c:v>4.5052670460260461E-3</c:v>
                </c:pt>
                <c:pt idx="188">
                  <c:v>-3.0273434377352066E-3</c:v>
                </c:pt>
                <c:pt idx="189">
                  <c:v>1.945106177543596E-3</c:v>
                </c:pt>
                <c:pt idx="190">
                  <c:v>3.2430095014884591E-5</c:v>
                </c:pt>
                <c:pt idx="191">
                  <c:v>-1.2097103042181085E-3</c:v>
                </c:pt>
                <c:pt idx="192">
                  <c:v>-3.850632338327482E-3</c:v>
                </c:pt>
                <c:pt idx="193">
                  <c:v>-5.4631143071913746E-3</c:v>
                </c:pt>
                <c:pt idx="194">
                  <c:v>1.8963857501105978E-3</c:v>
                </c:pt>
                <c:pt idx="195">
                  <c:v>3.1255452178552976E-3</c:v>
                </c:pt>
                <c:pt idx="196">
                  <c:v>4.9716224010565224E-3</c:v>
                </c:pt>
                <c:pt idx="197">
                  <c:v>-3.7121409971133104E-3</c:v>
                </c:pt>
                <c:pt idx="198">
                  <c:v>7.542664676599203E-4</c:v>
                </c:pt>
                <c:pt idx="199">
                  <c:v>-7.5426646765991911E-4</c:v>
                </c:pt>
                <c:pt idx="200">
                  <c:v>5.925625071700664E-4</c:v>
                </c:pt>
                <c:pt idx="201">
                  <c:v>3.2336981307535834E-4</c:v>
                </c:pt>
                <c:pt idx="202">
                  <c:v>-3.1323413234576863E-3</c:v>
                </c:pt>
                <c:pt idx="203">
                  <c:v>7.1834730225964101E-3</c:v>
                </c:pt>
                <c:pt idx="204">
                  <c:v>-6.1682555336066089E-4</c:v>
                </c:pt>
                <c:pt idx="205">
                  <c:v>9.0914911929635181E-4</c:v>
                </c:pt>
                <c:pt idx="206">
                  <c:v>2.7291244740511674E-4</c:v>
                </c:pt>
                <c:pt idx="207">
                  <c:v>3.0114216009859834E-4</c:v>
                </c:pt>
                <c:pt idx="208">
                  <c:v>4.5607438677777281E-3</c:v>
                </c:pt>
                <c:pt idx="209">
                  <c:v>7.5124355231923133E-4</c:v>
                </c:pt>
                <c:pt idx="210">
                  <c:v>1.697306672880487E-3</c:v>
                </c:pt>
                <c:pt idx="211">
                  <c:v>-3.6341663723826506E-3</c:v>
                </c:pt>
                <c:pt idx="212">
                  <c:v>3.1527934350986049E-4</c:v>
                </c:pt>
                <c:pt idx="213">
                  <c:v>1.74143175338805E-3</c:v>
                </c:pt>
                <c:pt idx="214">
                  <c:v>7.0619259623988179E-3</c:v>
                </c:pt>
                <c:pt idx="215">
                  <c:v>-5.0337671795156573E-3</c:v>
                </c:pt>
                <c:pt idx="216">
                  <c:v>7.4501251047828215E-3</c:v>
                </c:pt>
                <c:pt idx="217">
                  <c:v>-5.7677392485585809E-3</c:v>
                </c:pt>
                <c:pt idx="218">
                  <c:v>3.6036837312339864E-3</c:v>
                </c:pt>
                <c:pt idx="219">
                  <c:v>-1.5021501462224932E-3</c:v>
                </c:pt>
                <c:pt idx="220">
                  <c:v>7.7817769302707194E-4</c:v>
                </c:pt>
                <c:pt idx="221">
                  <c:v>-1.4354100387136738E-3</c:v>
                </c:pt>
                <c:pt idx="222">
                  <c:v>2.8289660221152602E-3</c:v>
                </c:pt>
                <c:pt idx="223">
                  <c:v>-7.7877076727300874E-3</c:v>
                </c:pt>
                <c:pt idx="224">
                  <c:v>-3.6867458070468889E-3</c:v>
                </c:pt>
                <c:pt idx="225">
                  <c:v>1.1938334923167563E-4</c:v>
                </c:pt>
                <c:pt idx="226">
                  <c:v>-4.6034254064069345E-3</c:v>
                </c:pt>
                <c:pt idx="227">
                  <c:v>-5.345820107333873E-3</c:v>
                </c:pt>
                <c:pt idx="228">
                  <c:v>1.9152091266442075E-3</c:v>
                </c:pt>
                <c:pt idx="229">
                  <c:v>3.1604990043019158E-3</c:v>
                </c:pt>
                <c:pt idx="230">
                  <c:v>-3.9894580101542555E-3</c:v>
                </c:pt>
                <c:pt idx="231">
                  <c:v>-3.2229952754990339E-3</c:v>
                </c:pt>
                <c:pt idx="232">
                  <c:v>-1.1685219643470454E-3</c:v>
                </c:pt>
                <c:pt idx="233">
                  <c:v>-2.0228336504498358E-3</c:v>
                </c:pt>
                <c:pt idx="234">
                  <c:v>1.178766330308308E-2</c:v>
                </c:pt>
                <c:pt idx="235">
                  <c:v>1.5699549265938203E-3</c:v>
                </c:pt>
                <c:pt idx="236">
                  <c:v>3.6583214203472882E-3</c:v>
                </c:pt>
                <c:pt idx="237">
                  <c:v>-1.1955913875551971E-3</c:v>
                </c:pt>
                <c:pt idx="238">
                  <c:v>8.6939100306721257E-4</c:v>
                </c:pt>
                <c:pt idx="239">
                  <c:v>1.425227925557827E-3</c:v>
                </c:pt>
                <c:pt idx="240">
                  <c:v>-7.6030964941314859E-3</c:v>
                </c:pt>
                <c:pt idx="241">
                  <c:v>1.1892576681014216E-3</c:v>
                </c:pt>
                <c:pt idx="242">
                  <c:v>4.7711598855427525E-3</c:v>
                </c:pt>
                <c:pt idx="243">
                  <c:v>-4.1110611150843327E-3</c:v>
                </c:pt>
                <c:pt idx="244">
                  <c:v>2.9487336631779846E-3</c:v>
                </c:pt>
                <c:pt idx="245">
                  <c:v>-1.4212385893361903E-3</c:v>
                </c:pt>
                <c:pt idx="246">
                  <c:v>-1.7548442518030868E-3</c:v>
                </c:pt>
                <c:pt idx="247">
                  <c:v>-4.7607873004669828E-4</c:v>
                </c:pt>
                <c:pt idx="248">
                  <c:v>6.0761819877802646E-3</c:v>
                </c:pt>
                <c:pt idx="249">
                  <c:v>-4.8313982373920988E-3</c:v>
                </c:pt>
                <c:pt idx="250">
                  <c:v>1.7018733626605206E-3</c:v>
                </c:pt>
                <c:pt idx="251">
                  <c:v>-1.4093883087890507E-3</c:v>
                </c:pt>
                <c:pt idx="252">
                  <c:v>3.8861503967421258E-3</c:v>
                </c:pt>
                <c:pt idx="253">
                  <c:v>7.1698560442826672E-4</c:v>
                </c:pt>
                <c:pt idx="254">
                  <c:v>1.7658610798973178E-3</c:v>
                </c:pt>
                <c:pt idx="255">
                  <c:v>2.835190438882261E-4</c:v>
                </c:pt>
                <c:pt idx="256">
                  <c:v>3.6055232080862282E-3</c:v>
                </c:pt>
                <c:pt idx="257">
                  <c:v>-1.094040264056392E-4</c:v>
                </c:pt>
                <c:pt idx="258">
                  <c:v>1.8896670250772188E-3</c:v>
                </c:pt>
                <c:pt idx="259">
                  <c:v>-6.9442120524947394E-3</c:v>
                </c:pt>
                <c:pt idx="260">
                  <c:v>2.3112267250805997E-3</c:v>
                </c:pt>
                <c:pt idx="261">
                  <c:v>-1.287078234505215E-3</c:v>
                </c:pt>
                <c:pt idx="262">
                  <c:v>-4.361594357953625E-3</c:v>
                </c:pt>
                <c:pt idx="263">
                  <c:v>2.7822687716794617E-3</c:v>
                </c:pt>
                <c:pt idx="264">
                  <c:v>-9.0573176862250807E-3</c:v>
                </c:pt>
                <c:pt idx="265">
                  <c:v>3.9985117168616366E-3</c:v>
                </c:pt>
                <c:pt idx="266">
                  <c:v>1.0187083870544792E-2</c:v>
                </c:pt>
                <c:pt idx="267">
                  <c:v>3.3969043721818605E-3</c:v>
                </c:pt>
                <c:pt idx="268">
                  <c:v>-3.1452544384079585E-3</c:v>
                </c:pt>
                <c:pt idx="269">
                  <c:v>-3.4517068266575195E-3</c:v>
                </c:pt>
                <c:pt idx="270">
                  <c:v>1.6041841532231397E-3</c:v>
                </c:pt>
                <c:pt idx="271">
                  <c:v>-1.3534033382398751E-3</c:v>
                </c:pt>
                <c:pt idx="272">
                  <c:v>4.5915218426707191E-3</c:v>
                </c:pt>
                <c:pt idx="273">
                  <c:v>-1.5875389740826072E-3</c:v>
                </c:pt>
                <c:pt idx="274">
                  <c:v>-3.9916614644605409E-3</c:v>
                </c:pt>
                <c:pt idx="275">
                  <c:v>-6.7362068062794406E-3</c:v>
                </c:pt>
                <c:pt idx="276">
                  <c:v>-7.4627502194365754E-3</c:v>
                </c:pt>
                <c:pt idx="277">
                  <c:v>-2.792647301803959E-4</c:v>
                </c:pt>
                <c:pt idx="278">
                  <c:v>4.3590583268619375E-3</c:v>
                </c:pt>
                <c:pt idx="279">
                  <c:v>6.6449674804084239E-3</c:v>
                </c:pt>
                <c:pt idx="280">
                  <c:v>2.1522990436672025E-3</c:v>
                </c:pt>
                <c:pt idx="281">
                  <c:v>-1.5331754336988922E-3</c:v>
                </c:pt>
                <c:pt idx="282">
                  <c:v>-5.1477102506241202E-3</c:v>
                </c:pt>
                <c:pt idx="283">
                  <c:v>2.2400651386723204E-3</c:v>
                </c:pt>
                <c:pt idx="284">
                  <c:v>-2.1103609577729702E-3</c:v>
                </c:pt>
                <c:pt idx="285">
                  <c:v>8.4358422684780582E-4</c:v>
                </c:pt>
                <c:pt idx="286">
                  <c:v>-1.5460278802826505E-3</c:v>
                </c:pt>
                <c:pt idx="287">
                  <c:v>1.0052166386533144E-3</c:v>
                </c:pt>
                <c:pt idx="288">
                  <c:v>2.2710767770222186E-4</c:v>
                </c:pt>
                <c:pt idx="289">
                  <c:v>-1.0054448422527329E-3</c:v>
                </c:pt>
                <c:pt idx="290">
                  <c:v>4.1580418153488253E-3</c:v>
                </c:pt>
                <c:pt idx="291">
                  <c:v>2.172469089517117E-3</c:v>
                </c:pt>
                <c:pt idx="292">
                  <c:v>4.239113173788972E-3</c:v>
                </c:pt>
                <c:pt idx="293">
                  <c:v>-6.3681842759116224E-3</c:v>
                </c:pt>
                <c:pt idx="294">
                  <c:v>4.5024598016312773E-3</c:v>
                </c:pt>
                <c:pt idx="295">
                  <c:v>-9.1360403610998495E-3</c:v>
                </c:pt>
                <c:pt idx="296">
                  <c:v>-8.1727910085601784E-4</c:v>
                </c:pt>
                <c:pt idx="297">
                  <c:v>9.8661337195631339E-3</c:v>
                </c:pt>
                <c:pt idx="298">
                  <c:v>-1.154656267479864E-3</c:v>
                </c:pt>
                <c:pt idx="299">
                  <c:v>-2.1314790418745515E-3</c:v>
                </c:pt>
                <c:pt idx="300">
                  <c:v>2.8502556453777346E-3</c:v>
                </c:pt>
                <c:pt idx="301">
                  <c:v>-2.4590827544735154E-3</c:v>
                </c:pt>
                <c:pt idx="302">
                  <c:v>-5.7325717301007521E-3</c:v>
                </c:pt>
                <c:pt idx="303">
                  <c:v>-4.4312271402414073E-3</c:v>
                </c:pt>
                <c:pt idx="304">
                  <c:v>3.3081001153414829E-3</c:v>
                </c:pt>
                <c:pt idx="305">
                  <c:v>-3.1144348789478886E-3</c:v>
                </c:pt>
                <c:pt idx="306">
                  <c:v>-5.7828001806797934E-3</c:v>
                </c:pt>
                <c:pt idx="307">
                  <c:v>-3.7692447783307793E-3</c:v>
                </c:pt>
                <c:pt idx="308">
                  <c:v>-2.6395596763342062E-3</c:v>
                </c:pt>
                <c:pt idx="309">
                  <c:v>-8.2874129549173928E-4</c:v>
                </c:pt>
                <c:pt idx="310">
                  <c:v>5.901181120132745E-3</c:v>
                </c:pt>
                <c:pt idx="311">
                  <c:v>3.3066981937290279E-3</c:v>
                </c:pt>
                <c:pt idx="312">
                  <c:v>-1.0177564172674065E-3</c:v>
                </c:pt>
                <c:pt idx="313">
                  <c:v>5.0338473825640854E-4</c:v>
                </c:pt>
                <c:pt idx="314">
                  <c:v>2.8860853561826511E-3</c:v>
                </c:pt>
                <c:pt idx="315">
                  <c:v>1.3224331309697379E-3</c:v>
                </c:pt>
                <c:pt idx="316">
                  <c:v>-1.9132329584429808E-3</c:v>
                </c:pt>
                <c:pt idx="317">
                  <c:v>-2.5737904303954617E-3</c:v>
                </c:pt>
                <c:pt idx="318">
                  <c:v>2.7026380036068057E-3</c:v>
                </c:pt>
                <c:pt idx="319">
                  <c:v>8.8236740247798744E-3</c:v>
                </c:pt>
                <c:pt idx="320">
                  <c:v>-2.3833334656866618E-4</c:v>
                </c:pt>
                <c:pt idx="321">
                  <c:v>-2.9311572165366413E-3</c:v>
                </c:pt>
                <c:pt idx="322">
                  <c:v>-3.2394599325463627E-4</c:v>
                </c:pt>
                <c:pt idx="323">
                  <c:v>-3.6642220126964151E-3</c:v>
                </c:pt>
                <c:pt idx="324">
                  <c:v>-3.704378634342705E-3</c:v>
                </c:pt>
                <c:pt idx="325">
                  <c:v>-1.5314719719842452E-3</c:v>
                </c:pt>
                <c:pt idx="326">
                  <c:v>2.5689017773652912E-4</c:v>
                </c:pt>
                <c:pt idx="327">
                  <c:v>3.1519041005887462E-3</c:v>
                </c:pt>
                <c:pt idx="328">
                  <c:v>-1.4378487014843706E-3</c:v>
                </c:pt>
                <c:pt idx="329">
                  <c:v>-1.296523907715493E-3</c:v>
                </c:pt>
                <c:pt idx="330">
                  <c:v>-9.0503455590706279E-3</c:v>
                </c:pt>
                <c:pt idx="331">
                  <c:v>-2.3953817174835524E-3</c:v>
                </c:pt>
                <c:pt idx="332">
                  <c:v>-7.8664987056034259E-3</c:v>
                </c:pt>
                <c:pt idx="333">
                  <c:v>3.2192418125116468E-3</c:v>
                </c:pt>
                <c:pt idx="334">
                  <c:v>-4.9403632698437885E-3</c:v>
                </c:pt>
                <c:pt idx="335">
                  <c:v>-1.9902769177873483E-3</c:v>
                </c:pt>
                <c:pt idx="336">
                  <c:v>-2.8109864037394509E-3</c:v>
                </c:pt>
                <c:pt idx="337">
                  <c:v>-4.1031088931060677E-3</c:v>
                </c:pt>
                <c:pt idx="338">
                  <c:v>-6.6704724215702295E-3</c:v>
                </c:pt>
                <c:pt idx="339">
                  <c:v>-3.1231203777693319E-3</c:v>
                </c:pt>
                <c:pt idx="340">
                  <c:v>-2.5387284381860912E-3</c:v>
                </c:pt>
                <c:pt idx="341">
                  <c:v>-3.7602076275609548E-3</c:v>
                </c:pt>
                <c:pt idx="342">
                  <c:v>-9.4040453339597283E-4</c:v>
                </c:pt>
                <c:pt idx="343">
                  <c:v>5.7071231631624156E-3</c:v>
                </c:pt>
                <c:pt idx="344">
                  <c:v>-1.2265308618123557E-2</c:v>
                </c:pt>
                <c:pt idx="345">
                  <c:v>-4.183286045619225E-3</c:v>
                </c:pt>
                <c:pt idx="346">
                  <c:v>-3.4005441913990257E-3</c:v>
                </c:pt>
                <c:pt idx="347">
                  <c:v>-3.0175249282737935E-3</c:v>
                </c:pt>
                <c:pt idx="348">
                  <c:v>1.2461462370855012E-3</c:v>
                </c:pt>
                <c:pt idx="349">
                  <c:v>-8.6007440524889425E-3</c:v>
                </c:pt>
                <c:pt idx="350">
                  <c:v>8.1776263855740398E-4</c:v>
                </c:pt>
                <c:pt idx="351">
                  <c:v>5.0909110611879434E-4</c:v>
                </c:pt>
                <c:pt idx="352">
                  <c:v>7.937789662443755E-3</c:v>
                </c:pt>
                <c:pt idx="353">
                  <c:v>6.7240903153950133E-3</c:v>
                </c:pt>
                <c:pt idx="354">
                  <c:v>1.5270891567398073E-2</c:v>
                </c:pt>
                <c:pt idx="355">
                  <c:v>-2.8862434161972123E-3</c:v>
                </c:pt>
                <c:pt idx="356">
                  <c:v>9.3151393838578067E-3</c:v>
                </c:pt>
                <c:pt idx="357">
                  <c:v>5.9704773626484678E-3</c:v>
                </c:pt>
                <c:pt idx="358">
                  <c:v>-1.3841884418212768E-3</c:v>
                </c:pt>
                <c:pt idx="359">
                  <c:v>3.0936489256302591E-3</c:v>
                </c:pt>
                <c:pt idx="360">
                  <c:v>3.4429573950738707E-4</c:v>
                </c:pt>
                <c:pt idx="361">
                  <c:v>-1.3452889230981219E-3</c:v>
                </c:pt>
                <c:pt idx="362">
                  <c:v>-3.7241242883924879E-3</c:v>
                </c:pt>
                <c:pt idx="363">
                  <c:v>5.894189912349336E-3</c:v>
                </c:pt>
                <c:pt idx="364">
                  <c:v>-5.0216171969540138E-3</c:v>
                </c:pt>
                <c:pt idx="365">
                  <c:v>-9.3506939097506101E-3</c:v>
                </c:pt>
                <c:pt idx="366">
                  <c:v>-2.2521658149415231E-3</c:v>
                </c:pt>
                <c:pt idx="367">
                  <c:v>-5.480638125625689E-3</c:v>
                </c:pt>
                <c:pt idx="368">
                  <c:v>-1.5924875788680326E-3</c:v>
                </c:pt>
                <c:pt idx="369">
                  <c:v>-9.1885328185462804E-3</c:v>
                </c:pt>
                <c:pt idx="370">
                  <c:v>-7.2654955592544122E-3</c:v>
                </c:pt>
                <c:pt idx="371">
                  <c:v>-2.8404241707328287E-3</c:v>
                </c:pt>
                <c:pt idx="372">
                  <c:v>4.8943506049055271E-3</c:v>
                </c:pt>
                <c:pt idx="373">
                  <c:v>2.8431180873253675E-2</c:v>
                </c:pt>
                <c:pt idx="374">
                  <c:v>-3.7232868471806117E-4</c:v>
                </c:pt>
                <c:pt idx="375">
                  <c:v>1.1174021983571484E-3</c:v>
                </c:pt>
                <c:pt idx="376">
                  <c:v>4.4300141834384488E-3</c:v>
                </c:pt>
                <c:pt idx="377">
                  <c:v>4.0558595871068731E-4</c:v>
                </c:pt>
                <c:pt idx="378">
                  <c:v>4.2425560935203891E-3</c:v>
                </c:pt>
                <c:pt idx="379">
                  <c:v>1.1810969562147879E-3</c:v>
                </c:pt>
                <c:pt idx="380">
                  <c:v>-5.5415166763995386E-4</c:v>
                </c:pt>
                <c:pt idx="381">
                  <c:v>2.6270888330523286E-3</c:v>
                </c:pt>
                <c:pt idx="382">
                  <c:v>-9.5322734464341966E-4</c:v>
                </c:pt>
                <c:pt idx="383">
                  <c:v>-5.9919038281613518E-3</c:v>
                </c:pt>
                <c:pt idx="384">
                  <c:v>-7.9489426958448441E-3</c:v>
                </c:pt>
                <c:pt idx="385">
                  <c:v>-1.7558289886400692E-3</c:v>
                </c:pt>
                <c:pt idx="386">
                  <c:v>-3.7037093001923509E-3</c:v>
                </c:pt>
                <c:pt idx="387">
                  <c:v>-4.0275865623142088E-3</c:v>
                </c:pt>
                <c:pt idx="388">
                  <c:v>-5.1110395134258673E-3</c:v>
                </c:pt>
                <c:pt idx="389">
                  <c:v>8.8566123618223289E-4</c:v>
                </c:pt>
                <c:pt idx="390">
                  <c:v>1.0903745470589997E-3</c:v>
                </c:pt>
                <c:pt idx="391">
                  <c:v>-2.2405625941086839E-3</c:v>
                </c:pt>
                <c:pt idx="392">
                  <c:v>7.5564296158600625E-3</c:v>
                </c:pt>
                <c:pt idx="393">
                  <c:v>-1.9456431682238291E-3</c:v>
                </c:pt>
                <c:pt idx="394">
                  <c:v>8.9401130080523951E-3</c:v>
                </c:pt>
                <c:pt idx="395">
                  <c:v>-2.752185766804869E-3</c:v>
                </c:pt>
                <c:pt idx="396">
                  <c:v>5.4395405691737859E-3</c:v>
                </c:pt>
                <c:pt idx="397">
                  <c:v>3.3174346977146089E-3</c:v>
                </c:pt>
                <c:pt idx="398">
                  <c:v>-1.3386916390911495E-3</c:v>
                </c:pt>
                <c:pt idx="399">
                  <c:v>2.1282232017219719E-3</c:v>
                </c:pt>
                <c:pt idx="400">
                  <c:v>4.2177666384806377E-3</c:v>
                </c:pt>
                <c:pt idx="401">
                  <c:v>3.942317859374999E-3</c:v>
                </c:pt>
                <c:pt idx="402">
                  <c:v>1.4154578597616986E-3</c:v>
                </c:pt>
                <c:pt idx="403">
                  <c:v>3.121090251581804E-3</c:v>
                </c:pt>
                <c:pt idx="404">
                  <c:v>-8.7814497178985654E-3</c:v>
                </c:pt>
                <c:pt idx="405">
                  <c:v>-2.8233879777973805E-3</c:v>
                </c:pt>
                <c:pt idx="406">
                  <c:v>7.4245745256260043E-3</c:v>
                </c:pt>
                <c:pt idx="407">
                  <c:v>-8.5163694391290606E-3</c:v>
                </c:pt>
                <c:pt idx="408">
                  <c:v>7.6782024839389482E-3</c:v>
                </c:pt>
                <c:pt idx="409">
                  <c:v>7.4383653214070357E-4</c:v>
                </c:pt>
                <c:pt idx="410">
                  <c:v>1.2518122537539578E-2</c:v>
                </c:pt>
                <c:pt idx="411">
                  <c:v>1.0405704393468304E-3</c:v>
                </c:pt>
                <c:pt idx="412">
                  <c:v>-5.0978823938895902E-4</c:v>
                </c:pt>
                <c:pt idx="413">
                  <c:v>-4.4073332869809852E-3</c:v>
                </c:pt>
                <c:pt idx="414">
                  <c:v>-3.9037598785161931E-3</c:v>
                </c:pt>
                <c:pt idx="415">
                  <c:v>-1.7675086110342738E-3</c:v>
                </c:pt>
                <c:pt idx="416">
                  <c:v>-5.503336408292852E-3</c:v>
                </c:pt>
                <c:pt idx="417">
                  <c:v>-2.3076469886761713E-3</c:v>
                </c:pt>
                <c:pt idx="418">
                  <c:v>-5.8236183234949886E-3</c:v>
                </c:pt>
                <c:pt idx="419">
                  <c:v>2.0704855712796662E-5</c:v>
                </c:pt>
                <c:pt idx="420">
                  <c:v>-2.1544659029558901E-3</c:v>
                </c:pt>
                <c:pt idx="421">
                  <c:v>2.9117546575731438E-3</c:v>
                </c:pt>
                <c:pt idx="422">
                  <c:v>-5.0203556827756301E-3</c:v>
                </c:pt>
                <c:pt idx="423">
                  <c:v>1.4259271626219569E-3</c:v>
                </c:pt>
                <c:pt idx="424">
                  <c:v>-7.0065777006143052E-3</c:v>
                </c:pt>
                <c:pt idx="425">
                  <c:v>-5.273997380202752E-3</c:v>
                </c:pt>
                <c:pt idx="426">
                  <c:v>-2.264865590275483E-3</c:v>
                </c:pt>
                <c:pt idx="427">
                  <c:v>2.9494388794276101E-3</c:v>
                </c:pt>
                <c:pt idx="428">
                  <c:v>-6.235654953585682E-3</c:v>
                </c:pt>
                <c:pt idx="429">
                  <c:v>7.7085181366914491E-3</c:v>
                </c:pt>
                <c:pt idx="430">
                  <c:v>8.5423806001728199E-3</c:v>
                </c:pt>
                <c:pt idx="431">
                  <c:v>9.0533960915277299E-3</c:v>
                </c:pt>
                <c:pt idx="432">
                  <c:v>7.4449435925630792E-3</c:v>
                </c:pt>
                <c:pt idx="433">
                  <c:v>-7.8719925267609955E-3</c:v>
                </c:pt>
                <c:pt idx="434">
                  <c:v>-1.6272470132652915E-3</c:v>
                </c:pt>
                <c:pt idx="435">
                  <c:v>9.772503016291755E-5</c:v>
                </c:pt>
                <c:pt idx="436">
                  <c:v>-1.4649355109289156E-3</c:v>
                </c:pt>
                <c:pt idx="437">
                  <c:v>-9.1319778697473465E-4</c:v>
                </c:pt>
                <c:pt idx="438">
                  <c:v>4.0460132990721411E-4</c:v>
                </c:pt>
                <c:pt idx="439">
                  <c:v>-4.3900346678675244E-3</c:v>
                </c:pt>
                <c:pt idx="440">
                  <c:v>-7.9851095581843067E-3</c:v>
                </c:pt>
                <c:pt idx="441">
                  <c:v>-6.8535669929315679E-3</c:v>
                </c:pt>
                <c:pt idx="442">
                  <c:v>-9.8453780423452247E-3</c:v>
                </c:pt>
                <c:pt idx="443">
                  <c:v>6.1502176630029632E-4</c:v>
                </c:pt>
                <c:pt idx="444">
                  <c:v>1.4118054481583641E-2</c:v>
                </c:pt>
                <c:pt idx="445">
                  <c:v>2.755390574949894E-3</c:v>
                </c:pt>
                <c:pt idx="446">
                  <c:v>-1.0935663377190041E-2</c:v>
                </c:pt>
                <c:pt idx="447">
                  <c:v>-6.9861683706442714E-3</c:v>
                </c:pt>
                <c:pt idx="448">
                  <c:v>1.4072521833693712E-2</c:v>
                </c:pt>
                <c:pt idx="449">
                  <c:v>-2.683656568178911E-3</c:v>
                </c:pt>
                <c:pt idx="450">
                  <c:v>-8.7760402108013596E-3</c:v>
                </c:pt>
                <c:pt idx="451">
                  <c:v>-4.6257632704076474E-3</c:v>
                </c:pt>
                <c:pt idx="452">
                  <c:v>-4.9647175056536366E-3</c:v>
                </c:pt>
                <c:pt idx="453">
                  <c:v>1.9127357138085002E-3</c:v>
                </c:pt>
                <c:pt idx="454">
                  <c:v>2.1057425840964269E-4</c:v>
                </c:pt>
                <c:pt idx="455">
                  <c:v>-4.0224542006434046E-3</c:v>
                </c:pt>
                <c:pt idx="456">
                  <c:v>-2.2542449035587537E-3</c:v>
                </c:pt>
                <c:pt idx="457">
                  <c:v>8.1733864705795869E-3</c:v>
                </c:pt>
                <c:pt idx="458">
                  <c:v>1.8299282217602729E-3</c:v>
                </c:pt>
                <c:pt idx="459">
                  <c:v>-1.1138500091426532E-2</c:v>
                </c:pt>
                <c:pt idx="460">
                  <c:v>9.9563639866359784E-4</c:v>
                </c:pt>
                <c:pt idx="461">
                  <c:v>5.9250766784057548E-3</c:v>
                </c:pt>
                <c:pt idx="462">
                  <c:v>-1.5221080101775202E-3</c:v>
                </c:pt>
                <c:pt idx="463">
                  <c:v>4.7441210011042187E-3</c:v>
                </c:pt>
                <c:pt idx="464">
                  <c:v>9.7591758518664889E-3</c:v>
                </c:pt>
                <c:pt idx="465">
                  <c:v>-5.4974782531692452E-3</c:v>
                </c:pt>
                <c:pt idx="466">
                  <c:v>-6.0095317892402593E-3</c:v>
                </c:pt>
                <c:pt idx="467">
                  <c:v>-5.0054615748075489E-3</c:v>
                </c:pt>
                <c:pt idx="468">
                  <c:v>1.7090495329080988E-3</c:v>
                </c:pt>
                <c:pt idx="469">
                  <c:v>-3.5747111763080527E-3</c:v>
                </c:pt>
                <c:pt idx="470">
                  <c:v>-1.005605937514545E-2</c:v>
                </c:pt>
                <c:pt idx="471">
                  <c:v>1.6596077240332959E-2</c:v>
                </c:pt>
                <c:pt idx="472">
                  <c:v>7.9169691137180934E-3</c:v>
                </c:pt>
                <c:pt idx="473">
                  <c:v>4.4898760395245714E-3</c:v>
                </c:pt>
                <c:pt idx="474">
                  <c:v>9.6545024899660759E-4</c:v>
                </c:pt>
                <c:pt idx="475">
                  <c:v>1.9082839269895509E-2</c:v>
                </c:pt>
                <c:pt idx="476">
                  <c:v>2.1855656743510563E-2</c:v>
                </c:pt>
                <c:pt idx="477">
                  <c:v>9.0080476230380022E-4</c:v>
                </c:pt>
                <c:pt idx="478">
                  <c:v>3.0748641163394605E-4</c:v>
                </c:pt>
                <c:pt idx="479">
                  <c:v>-1.5577574681060467E-3</c:v>
                </c:pt>
                <c:pt idx="480">
                  <c:v>-8.7504448473914274E-3</c:v>
                </c:pt>
                <c:pt idx="481">
                  <c:v>-6.8204121278309538E-4</c:v>
                </c:pt>
                <c:pt idx="482">
                  <c:v>-5.3354228534085143E-3</c:v>
                </c:pt>
                <c:pt idx="483">
                  <c:v>7.6878485126704822E-3</c:v>
                </c:pt>
                <c:pt idx="484">
                  <c:v>8.1501182138268725E-3</c:v>
                </c:pt>
                <c:pt idx="485">
                  <c:v>-4.2417323477182507E-3</c:v>
                </c:pt>
                <c:pt idx="486">
                  <c:v>-1.4872165699772986E-3</c:v>
                </c:pt>
                <c:pt idx="487">
                  <c:v>-5.8010631000388621E-3</c:v>
                </c:pt>
                <c:pt idx="488">
                  <c:v>1.0989503917498573E-2</c:v>
                </c:pt>
                <c:pt idx="489">
                  <c:v>7.9670243879213093E-3</c:v>
                </c:pt>
                <c:pt idx="490">
                  <c:v>-6.4097176178671905E-5</c:v>
                </c:pt>
                <c:pt idx="491">
                  <c:v>-6.2275831225672715E-3</c:v>
                </c:pt>
                <c:pt idx="492">
                  <c:v>2.8658360029495494E-4</c:v>
                </c:pt>
                <c:pt idx="493">
                  <c:v>1.8700594441143257E-3</c:v>
                </c:pt>
                <c:pt idx="494">
                  <c:v>4.7012057965391402E-3</c:v>
                </c:pt>
                <c:pt idx="495">
                  <c:v>9.3004727604756722E-4</c:v>
                </c:pt>
                <c:pt idx="496">
                  <c:v>-8.0183168310425277E-4</c:v>
                </c:pt>
                <c:pt idx="497">
                  <c:v>7.2504513748602077E-3</c:v>
                </c:pt>
                <c:pt idx="498">
                  <c:v>4.996389405439612E-3</c:v>
                </c:pt>
                <c:pt idx="499">
                  <c:v>-3.5529359879853777E-3</c:v>
                </c:pt>
                <c:pt idx="500">
                  <c:v>-7.4535115687074834E-3</c:v>
                </c:pt>
                <c:pt idx="501">
                  <c:v>6.2791872200297812E-3</c:v>
                </c:pt>
                <c:pt idx="502">
                  <c:v>2.7386559845344093E-3</c:v>
                </c:pt>
                <c:pt idx="503">
                  <c:v>-1.1872730138585222E-4</c:v>
                </c:pt>
                <c:pt idx="504">
                  <c:v>-5.0611265048976116E-3</c:v>
                </c:pt>
                <c:pt idx="505">
                  <c:v>-1.0842677285578233E-3</c:v>
                </c:pt>
                <c:pt idx="506">
                  <c:v>3.0195448397140898E-3</c:v>
                </c:pt>
                <c:pt idx="507">
                  <c:v>1.6048136287182093E-3</c:v>
                </c:pt>
                <c:pt idx="508">
                  <c:v>5.2524587901872557E-3</c:v>
                </c:pt>
                <c:pt idx="509">
                  <c:v>-1.2453768757988532E-3</c:v>
                </c:pt>
                <c:pt idx="510">
                  <c:v>-1.2689696974419958E-2</c:v>
                </c:pt>
                <c:pt idx="511">
                  <c:v>6.6581809248575227E-3</c:v>
                </c:pt>
                <c:pt idx="512">
                  <c:v>-6.6902183853773754E-3</c:v>
                </c:pt>
                <c:pt idx="513">
                  <c:v>9.6205269751372512E-3</c:v>
                </c:pt>
                <c:pt idx="514">
                  <c:v>6.4292465502601426E-3</c:v>
                </c:pt>
                <c:pt idx="515">
                  <c:v>-1.4214544183988908E-3</c:v>
                </c:pt>
                <c:pt idx="516">
                  <c:v>-9.3678358760169028E-3</c:v>
                </c:pt>
                <c:pt idx="517">
                  <c:v>4.0040367754668963E-3</c:v>
                </c:pt>
                <c:pt idx="518">
                  <c:v>1.9540371047137546E-3</c:v>
                </c:pt>
                <c:pt idx="519">
                  <c:v>3.7568222698684543E-3</c:v>
                </c:pt>
                <c:pt idx="520">
                  <c:v>6.507607699513732E-3</c:v>
                </c:pt>
                <c:pt idx="521">
                  <c:v>4.804978628212162E-4</c:v>
                </c:pt>
                <c:pt idx="522">
                  <c:v>-4.7837350496420204E-3</c:v>
                </c:pt>
                <c:pt idx="523">
                  <c:v>-1.9331801950469713E-3</c:v>
                </c:pt>
                <c:pt idx="524">
                  <c:v>-6.8326655518827456E-4</c:v>
                </c:pt>
                <c:pt idx="525">
                  <c:v>5.7957575314233831E-3</c:v>
                </c:pt>
                <c:pt idx="526">
                  <c:v>-3.5162549136170188E-3</c:v>
                </c:pt>
                <c:pt idx="527">
                  <c:v>-7.1698072419779677E-4</c:v>
                </c:pt>
                <c:pt idx="528">
                  <c:v>-4.7883594489280742E-3</c:v>
                </c:pt>
                <c:pt idx="529">
                  <c:v>9.8071245310363299E-3</c:v>
                </c:pt>
                <c:pt idx="530">
                  <c:v>9.8601736619198539E-3</c:v>
                </c:pt>
                <c:pt idx="531">
                  <c:v>-6.525868291356784E-3</c:v>
                </c:pt>
                <c:pt idx="532">
                  <c:v>-1.4275573231925532E-2</c:v>
                </c:pt>
                <c:pt idx="533">
                  <c:v>-1.6610997800428923E-3</c:v>
                </c:pt>
                <c:pt idx="534">
                  <c:v>6.7260766661320212E-3</c:v>
                </c:pt>
                <c:pt idx="535">
                  <c:v>8.0322128709514671E-4</c:v>
                </c:pt>
                <c:pt idx="536">
                  <c:v>-1.1547147077453984E-3</c:v>
                </c:pt>
                <c:pt idx="537">
                  <c:v>-1.9677221103806619E-3</c:v>
                </c:pt>
                <c:pt idx="538">
                  <c:v>5.6122158880722159E-3</c:v>
                </c:pt>
                <c:pt idx="539">
                  <c:v>-3.1628078093235055E-3</c:v>
                </c:pt>
                <c:pt idx="540">
                  <c:v>-1.9838390425672837E-3</c:v>
                </c:pt>
                <c:pt idx="541">
                  <c:v>-3.351721191330554E-3</c:v>
                </c:pt>
                <c:pt idx="542">
                  <c:v>3.5466869438251351E-3</c:v>
                </c:pt>
                <c:pt idx="543">
                  <c:v>-4.6685902537547241E-3</c:v>
                </c:pt>
                <c:pt idx="544">
                  <c:v>-4.0242504376388844E-3</c:v>
                </c:pt>
                <c:pt idx="545">
                  <c:v>-2.6274344710386023E-3</c:v>
                </c:pt>
                <c:pt idx="546">
                  <c:v>-6.7672773725374943E-3</c:v>
                </c:pt>
                <c:pt idx="547">
                  <c:v>4.7237507846478732E-3</c:v>
                </c:pt>
                <c:pt idx="548">
                  <c:v>-6.6771287351216338E-3</c:v>
                </c:pt>
                <c:pt idx="549">
                  <c:v>2.549265859617044E-3</c:v>
                </c:pt>
                <c:pt idx="550">
                  <c:v>-2.5513542108600061E-3</c:v>
                </c:pt>
                <c:pt idx="551">
                  <c:v>5.3974178055765411E-3</c:v>
                </c:pt>
                <c:pt idx="552">
                  <c:v>6.5435791935235521E-3</c:v>
                </c:pt>
                <c:pt idx="553">
                  <c:v>-1.2323155129141491E-2</c:v>
                </c:pt>
                <c:pt idx="554">
                  <c:v>1.4444261437510531E-3</c:v>
                </c:pt>
                <c:pt idx="555">
                  <c:v>8.5605456391080175E-3</c:v>
                </c:pt>
                <c:pt idx="556">
                  <c:v>1.5611405447257469E-2</c:v>
                </c:pt>
                <c:pt idx="557">
                  <c:v>6.4547660542827118E-3</c:v>
                </c:pt>
                <c:pt idx="558">
                  <c:v>-2.1992175528796924E-3</c:v>
                </c:pt>
                <c:pt idx="559">
                  <c:v>-1.7914008021323171E-2</c:v>
                </c:pt>
                <c:pt idx="560">
                  <c:v>1.9997458038449661E-3</c:v>
                </c:pt>
                <c:pt idx="561">
                  <c:v>2.6186864097254869E-3</c:v>
                </c:pt>
                <c:pt idx="562">
                  <c:v>-2.6509524667826987E-3</c:v>
                </c:pt>
                <c:pt idx="563">
                  <c:v>8.3537877726660541E-3</c:v>
                </c:pt>
                <c:pt idx="564">
                  <c:v>5.3863175970543138E-3</c:v>
                </c:pt>
                <c:pt idx="565">
                  <c:v>1.3092131585832952E-4</c:v>
                </c:pt>
                <c:pt idx="566">
                  <c:v>-3.8120012525796622E-3</c:v>
                </c:pt>
                <c:pt idx="567">
                  <c:v>5.3190576332989613E-3</c:v>
                </c:pt>
                <c:pt idx="568">
                  <c:v>-5.8624726970659697E-3</c:v>
                </c:pt>
                <c:pt idx="569">
                  <c:v>2.5020671241445568E-3</c:v>
                </c:pt>
                <c:pt idx="570">
                  <c:v>5.1542828666573896E-3</c:v>
                </c:pt>
                <c:pt idx="571">
                  <c:v>-4.5114160182539971E-3</c:v>
                </c:pt>
                <c:pt idx="572">
                  <c:v>5.2452416545692099E-3</c:v>
                </c:pt>
                <c:pt idx="573">
                  <c:v>8.0413971425624241E-3</c:v>
                </c:pt>
                <c:pt idx="574">
                  <c:v>-1.0597347615145419E-3</c:v>
                </c:pt>
                <c:pt idx="575">
                  <c:v>2.308564681143098E-3</c:v>
                </c:pt>
                <c:pt idx="576">
                  <c:v>-5.0080919152740676E-3</c:v>
                </c:pt>
                <c:pt idx="577">
                  <c:v>6.5242891102710058E-3</c:v>
                </c:pt>
                <c:pt idx="578">
                  <c:v>7.9247582878605501E-3</c:v>
                </c:pt>
                <c:pt idx="579">
                  <c:v>7.5897915736045148E-3</c:v>
                </c:pt>
                <c:pt idx="580">
                  <c:v>-6.503003917823949E-3</c:v>
                </c:pt>
                <c:pt idx="581">
                  <c:v>-4.1375749036580397E-3</c:v>
                </c:pt>
                <c:pt idx="582">
                  <c:v>2.9090007746749289E-3</c:v>
                </c:pt>
                <c:pt idx="583">
                  <c:v>-2.0071378779977778E-3</c:v>
                </c:pt>
                <c:pt idx="584">
                  <c:v>6.0111626461621173E-3</c:v>
                </c:pt>
                <c:pt idx="585">
                  <c:v>6.9500110194947067E-4</c:v>
                </c:pt>
                <c:pt idx="586">
                  <c:v>5.1833124935527263E-3</c:v>
                </c:pt>
                <c:pt idx="587">
                  <c:v>-5.3178600705108218E-3</c:v>
                </c:pt>
                <c:pt idx="588">
                  <c:v>1.1331580853785898E-3</c:v>
                </c:pt>
                <c:pt idx="589">
                  <c:v>-3.4403732000893778E-3</c:v>
                </c:pt>
                <c:pt idx="590">
                  <c:v>-1.0286890494618671E-3</c:v>
                </c:pt>
                <c:pt idx="591">
                  <c:v>-1.1950422121836362E-3</c:v>
                </c:pt>
                <c:pt idx="592">
                  <c:v>4.0489160612550389E-3</c:v>
                </c:pt>
                <c:pt idx="593">
                  <c:v>9.9456359755054034E-3</c:v>
                </c:pt>
                <c:pt idx="594">
                  <c:v>-2.0129068972615273E-3</c:v>
                </c:pt>
                <c:pt idx="595">
                  <c:v>-6.7215991427604389E-3</c:v>
                </c:pt>
                <c:pt idx="596">
                  <c:v>1.414919481915558E-3</c:v>
                </c:pt>
                <c:pt idx="597">
                  <c:v>-2.8093444135968908E-4</c:v>
                </c:pt>
                <c:pt idx="598">
                  <c:v>9.7788537969088177E-4</c:v>
                </c:pt>
                <c:pt idx="599">
                  <c:v>-5.2824046218377697E-3</c:v>
                </c:pt>
                <c:pt idx="600">
                  <c:v>-4.8873525652240041E-3</c:v>
                </c:pt>
                <c:pt idx="601">
                  <c:v>3.2555573923886121E-3</c:v>
                </c:pt>
                <c:pt idx="602">
                  <c:v>-9.9342744068504104E-4</c:v>
                </c:pt>
                <c:pt idx="603">
                  <c:v>-2.6650392888897625E-3</c:v>
                </c:pt>
                <c:pt idx="604">
                  <c:v>-6.7952277212125507E-3</c:v>
                </c:pt>
                <c:pt idx="605">
                  <c:v>7.40960669585924E-3</c:v>
                </c:pt>
                <c:pt idx="606">
                  <c:v>-1.2242825611658148E-4</c:v>
                </c:pt>
                <c:pt idx="607">
                  <c:v>-3.3452107254291186E-3</c:v>
                </c:pt>
                <c:pt idx="608">
                  <c:v>-2.9800528365608392E-3</c:v>
                </c:pt>
                <c:pt idx="609">
                  <c:v>-1.1608253626971218E-3</c:v>
                </c:pt>
                <c:pt idx="610">
                  <c:v>6.520735417921156E-4</c:v>
                </c:pt>
                <c:pt idx="611">
                  <c:v>-1.4804196806195969E-3</c:v>
                </c:pt>
                <c:pt idx="612">
                  <c:v>-4.5051942572935317E-3</c:v>
                </c:pt>
                <c:pt idx="613">
                  <c:v>4.7370462234519349E-3</c:v>
                </c:pt>
                <c:pt idx="614">
                  <c:v>-4.5502012979722088E-3</c:v>
                </c:pt>
                <c:pt idx="615">
                  <c:v>4.2079374592274591E-3</c:v>
                </c:pt>
                <c:pt idx="616">
                  <c:v>-1.3568464231007286E-3</c:v>
                </c:pt>
                <c:pt idx="617">
                  <c:v>-2.6532017540096564E-3</c:v>
                </c:pt>
                <c:pt idx="618">
                  <c:v>1.198970114580883E-2</c:v>
                </c:pt>
                <c:pt idx="619">
                  <c:v>-4.9947070288941763E-3</c:v>
                </c:pt>
                <c:pt idx="620">
                  <c:v>-5.6307208741706218E-3</c:v>
                </c:pt>
                <c:pt idx="621">
                  <c:v>3.3524768134950192E-3</c:v>
                </c:pt>
                <c:pt idx="622">
                  <c:v>5.7385482245250388E-3</c:v>
                </c:pt>
                <c:pt idx="623">
                  <c:v>9.4212041763896606E-3</c:v>
                </c:pt>
                <c:pt idx="624">
                  <c:v>-4.6324050760984271E-3</c:v>
                </c:pt>
                <c:pt idx="625">
                  <c:v>-2.1076079939170355E-3</c:v>
                </c:pt>
                <c:pt idx="626">
                  <c:v>6.0000753419093391E-3</c:v>
                </c:pt>
                <c:pt idx="627">
                  <c:v>-2.8872176635255722E-3</c:v>
                </c:pt>
                <c:pt idx="628">
                  <c:v>-1.0052496844667371E-3</c:v>
                </c:pt>
                <c:pt idx="629">
                  <c:v>1.8985486341505458E-4</c:v>
                </c:pt>
                <c:pt idx="630">
                  <c:v>2.0789149459412453E-3</c:v>
                </c:pt>
                <c:pt idx="631">
                  <c:v>-3.2506084682625345E-3</c:v>
                </c:pt>
                <c:pt idx="632">
                  <c:v>-2.7620355017541867E-3</c:v>
                </c:pt>
                <c:pt idx="633">
                  <c:v>4.6150543526391101E-3</c:v>
                </c:pt>
                <c:pt idx="634">
                  <c:v>-1.8307497868118997E-3</c:v>
                </c:pt>
                <c:pt idx="635">
                  <c:v>-2.0945105648563053E-3</c:v>
                </c:pt>
                <c:pt idx="636">
                  <c:v>3.6124348429580487E-3</c:v>
                </c:pt>
                <c:pt idx="637">
                  <c:v>7.1517995020250157E-3</c:v>
                </c:pt>
                <c:pt idx="638">
                  <c:v>4.2502094334603991E-3</c:v>
                </c:pt>
                <c:pt idx="639">
                  <c:v>7.2227132057341029E-3</c:v>
                </c:pt>
                <c:pt idx="640">
                  <c:v>1.3922762593364784E-2</c:v>
                </c:pt>
                <c:pt idx="641">
                  <c:v>8.6804150003552041E-3</c:v>
                </c:pt>
                <c:pt idx="642">
                  <c:v>-3.2305993854002098E-3</c:v>
                </c:pt>
                <c:pt idx="643">
                  <c:v>1.7999240701700742E-3</c:v>
                </c:pt>
                <c:pt idx="644">
                  <c:v>3.143228212948497E-3</c:v>
                </c:pt>
                <c:pt idx="645">
                  <c:v>-3.4972043393950405E-4</c:v>
                </c:pt>
                <c:pt idx="646">
                  <c:v>-9.6392950818194635E-3</c:v>
                </c:pt>
                <c:pt idx="647">
                  <c:v>2.3050569475784245E-5</c:v>
                </c:pt>
                <c:pt idx="648">
                  <c:v>-4.2047028813252292E-3</c:v>
                </c:pt>
                <c:pt idx="649">
                  <c:v>6.1806998763034764E-3</c:v>
                </c:pt>
                <c:pt idx="650">
                  <c:v>3.4645296086927048E-3</c:v>
                </c:pt>
                <c:pt idx="651">
                  <c:v>-8.448981643926658E-3</c:v>
                </c:pt>
                <c:pt idx="652">
                  <c:v>-1.1158024173189003E-3</c:v>
                </c:pt>
                <c:pt idx="653">
                  <c:v>-2.1016526259285732E-3</c:v>
                </c:pt>
                <c:pt idx="654">
                  <c:v>-8.3718483324133925E-4</c:v>
                </c:pt>
                <c:pt idx="655">
                  <c:v>-5.6352529087385682E-3</c:v>
                </c:pt>
                <c:pt idx="656">
                  <c:v>3.5283068062089617E-3</c:v>
                </c:pt>
                <c:pt idx="657">
                  <c:v>8.011514493833625E-5</c:v>
                </c:pt>
                <c:pt idx="658">
                  <c:v>1.6601340293101545E-3</c:v>
                </c:pt>
                <c:pt idx="659">
                  <c:v>-3.3175165808158719E-3</c:v>
                </c:pt>
                <c:pt idx="660">
                  <c:v>-1.2554972164041463E-3</c:v>
                </c:pt>
                <c:pt idx="661">
                  <c:v>-1.0265586364335801E-4</c:v>
                </c:pt>
                <c:pt idx="662">
                  <c:v>1.9389925824933211E-4</c:v>
                </c:pt>
                <c:pt idx="663">
                  <c:v>-1.5502102600494845E-3</c:v>
                </c:pt>
                <c:pt idx="664">
                  <c:v>-7.2871990867629584E-4</c:v>
                </c:pt>
                <c:pt idx="665">
                  <c:v>-1.7284659584699414E-3</c:v>
                </c:pt>
                <c:pt idx="666">
                  <c:v>2.1611005647222607E-3</c:v>
                </c:pt>
                <c:pt idx="667">
                  <c:v>-4.5782146711078045E-3</c:v>
                </c:pt>
                <c:pt idx="668">
                  <c:v>4.3254372481532554E-3</c:v>
                </c:pt>
                <c:pt idx="669">
                  <c:v>-1.5219635015733344E-3</c:v>
                </c:pt>
                <c:pt idx="670">
                  <c:v>2.720253695240496E-3</c:v>
                </c:pt>
                <c:pt idx="671">
                  <c:v>-8.7262611227229663E-3</c:v>
                </c:pt>
                <c:pt idx="672">
                  <c:v>4.181482318254896E-4</c:v>
                </c:pt>
                <c:pt idx="673">
                  <c:v>1.3912236245602369E-3</c:v>
                </c:pt>
                <c:pt idx="674">
                  <c:v>5.1518634657017077E-3</c:v>
                </c:pt>
                <c:pt idx="675">
                  <c:v>9.6754472282134887E-4</c:v>
                </c:pt>
                <c:pt idx="676">
                  <c:v>-5.7798030657844265E-3</c:v>
                </c:pt>
                <c:pt idx="677">
                  <c:v>-1.7760332882542477E-3</c:v>
                </c:pt>
                <c:pt idx="678">
                  <c:v>-5.2081279566420259E-3</c:v>
                </c:pt>
                <c:pt idx="679">
                  <c:v>-2.2125440898162693E-3</c:v>
                </c:pt>
                <c:pt idx="680">
                  <c:v>-1.4685752450578457E-3</c:v>
                </c:pt>
                <c:pt idx="681">
                  <c:v>7.5079005139015243E-4</c:v>
                </c:pt>
                <c:pt idx="682">
                  <c:v>8.8604258185812578E-4</c:v>
                </c:pt>
                <c:pt idx="683">
                  <c:v>-2.0195896249170764E-4</c:v>
                </c:pt>
                <c:pt idx="684">
                  <c:v>-2.0284269864585063E-3</c:v>
                </c:pt>
                <c:pt idx="685">
                  <c:v>-3.5762159754734639E-3</c:v>
                </c:pt>
                <c:pt idx="686">
                  <c:v>-5.3532770156717181E-4</c:v>
                </c:pt>
                <c:pt idx="687">
                  <c:v>-4.124847660712614E-4</c:v>
                </c:pt>
                <c:pt idx="688">
                  <c:v>-6.6893140160149774E-5</c:v>
                </c:pt>
                <c:pt idx="689">
                  <c:v>-2.1040844031843561E-3</c:v>
                </c:pt>
                <c:pt idx="690">
                  <c:v>-5.8436622297484211E-3</c:v>
                </c:pt>
                <c:pt idx="691">
                  <c:v>-2.9035556159711377E-3</c:v>
                </c:pt>
                <c:pt idx="692">
                  <c:v>-5.4749727662959076E-3</c:v>
                </c:pt>
                <c:pt idx="693">
                  <c:v>-4.0266060484396198E-3</c:v>
                </c:pt>
                <c:pt idx="694">
                  <c:v>-5.5102745008666605E-3</c:v>
                </c:pt>
                <c:pt idx="695">
                  <c:v>6.6028462716731604E-3</c:v>
                </c:pt>
                <c:pt idx="696">
                  <c:v>-7.8680844219332282E-4</c:v>
                </c:pt>
                <c:pt idx="697">
                  <c:v>-2.6399431984402318E-3</c:v>
                </c:pt>
                <c:pt idx="698">
                  <c:v>-3.339006678085676E-3</c:v>
                </c:pt>
                <c:pt idx="699">
                  <c:v>4.7454024127099358E-3</c:v>
                </c:pt>
                <c:pt idx="700">
                  <c:v>4.3953444888698342E-3</c:v>
                </c:pt>
                <c:pt idx="701">
                  <c:v>4.2717452107690675E-3</c:v>
                </c:pt>
                <c:pt idx="702">
                  <c:v>4.2568707204701873E-3</c:v>
                </c:pt>
                <c:pt idx="703">
                  <c:v>3.2052415229514615E-4</c:v>
                </c:pt>
                <c:pt idx="704">
                  <c:v>3.9434309758978403E-3</c:v>
                </c:pt>
                <c:pt idx="705">
                  <c:v>-7.5519369224794387E-3</c:v>
                </c:pt>
                <c:pt idx="706">
                  <c:v>5.8884742701629019E-3</c:v>
                </c:pt>
                <c:pt idx="707">
                  <c:v>2.24076209551049E-3</c:v>
                </c:pt>
                <c:pt idx="708">
                  <c:v>3.9988454197900408E-4</c:v>
                </c:pt>
                <c:pt idx="709">
                  <c:v>1.7123730479901768E-3</c:v>
                </c:pt>
                <c:pt idx="710">
                  <c:v>7.5739637316525575E-3</c:v>
                </c:pt>
                <c:pt idx="711">
                  <c:v>-1.5798495310038897E-3</c:v>
                </c:pt>
                <c:pt idx="712">
                  <c:v>2.9150761717834377E-3</c:v>
                </c:pt>
                <c:pt idx="713">
                  <c:v>-2.7583781485072067E-3</c:v>
                </c:pt>
                <c:pt idx="714">
                  <c:v>-4.0675855560478678E-3</c:v>
                </c:pt>
                <c:pt idx="715">
                  <c:v>-2.3725283955441964E-3</c:v>
                </c:pt>
                <c:pt idx="716">
                  <c:v>-3.9639855510052464E-3</c:v>
                </c:pt>
                <c:pt idx="717">
                  <c:v>3.7689336923889038E-4</c:v>
                </c:pt>
                <c:pt idx="718">
                  <c:v>-8.5437815092812303E-3</c:v>
                </c:pt>
                <c:pt idx="719">
                  <c:v>4.6822902032628826E-3</c:v>
                </c:pt>
                <c:pt idx="720">
                  <c:v>-6.0715047704260777E-4</c:v>
                </c:pt>
                <c:pt idx="721">
                  <c:v>7.6330741554215672E-3</c:v>
                </c:pt>
                <c:pt idx="722">
                  <c:v>1.1069751265146828E-5</c:v>
                </c:pt>
                <c:pt idx="723">
                  <c:v>-8.5592005295356214E-4</c:v>
                </c:pt>
                <c:pt idx="724">
                  <c:v>9.894295784002821E-4</c:v>
                </c:pt>
                <c:pt idx="725">
                  <c:v>-4.5166826453201811E-3</c:v>
                </c:pt>
                <c:pt idx="726">
                  <c:v>1.2963491135068509E-3</c:v>
                </c:pt>
                <c:pt idx="727">
                  <c:v>8.651232146784459E-4</c:v>
                </c:pt>
                <c:pt idx="728">
                  <c:v>1.3517472460756807E-2</c:v>
                </c:pt>
                <c:pt idx="729">
                  <c:v>2.2745467795348075E-3</c:v>
                </c:pt>
                <c:pt idx="730">
                  <c:v>-1.5769606994261946E-3</c:v>
                </c:pt>
                <c:pt idx="731">
                  <c:v>2.8742034307413021E-3</c:v>
                </c:pt>
                <c:pt idx="732">
                  <c:v>1.7737057090037121E-3</c:v>
                </c:pt>
                <c:pt idx="733">
                  <c:v>1.3351814417716004E-3</c:v>
                </c:pt>
                <c:pt idx="734">
                  <c:v>-1.459524165117678E-3</c:v>
                </c:pt>
                <c:pt idx="735">
                  <c:v>2.5131046989997938E-3</c:v>
                </c:pt>
                <c:pt idx="736">
                  <c:v>2.5535729327367715E-3</c:v>
                </c:pt>
                <c:pt idx="737">
                  <c:v>3.5289215836477911E-3</c:v>
                </c:pt>
                <c:pt idx="738">
                  <c:v>4.0909585887008515E-3</c:v>
                </c:pt>
                <c:pt idx="739">
                  <c:v>-1.5332348052445645E-3</c:v>
                </c:pt>
                <c:pt idx="740">
                  <c:v>7.8163615361845993E-3</c:v>
                </c:pt>
                <c:pt idx="741">
                  <c:v>-5.3552384758144443E-3</c:v>
                </c:pt>
                <c:pt idx="742">
                  <c:v>-2.7765896110975548E-3</c:v>
                </c:pt>
                <c:pt idx="743">
                  <c:v>3.383638932193701E-4</c:v>
                </c:pt>
                <c:pt idx="744">
                  <c:v>-9.1425946554602084E-4</c:v>
                </c:pt>
                <c:pt idx="745">
                  <c:v>-4.7633949795315485E-3</c:v>
                </c:pt>
                <c:pt idx="746">
                  <c:v>1.7295565112985445E-3</c:v>
                </c:pt>
                <c:pt idx="747">
                  <c:v>3.3880131208958463E-3</c:v>
                </c:pt>
                <c:pt idx="748">
                  <c:v>4.7648987152738532E-3</c:v>
                </c:pt>
                <c:pt idx="749">
                  <c:v>4.4186588857045165E-3</c:v>
                </c:pt>
                <c:pt idx="750">
                  <c:v>-4.0075550799014174E-3</c:v>
                </c:pt>
                <c:pt idx="751">
                  <c:v>4.0305825225305462E-3</c:v>
                </c:pt>
                <c:pt idx="752">
                  <c:v>7.8846882759019098E-3</c:v>
                </c:pt>
                <c:pt idx="753">
                  <c:v>-2.5076201289786593E-3</c:v>
                </c:pt>
                <c:pt idx="754">
                  <c:v>7.2030262007298455E-3</c:v>
                </c:pt>
                <c:pt idx="755">
                  <c:v>6.1916053087567448E-4</c:v>
                </c:pt>
                <c:pt idx="756">
                  <c:v>2.5273370237251435E-3</c:v>
                </c:pt>
                <c:pt idx="757">
                  <c:v>1.3267430759063623E-2</c:v>
                </c:pt>
                <c:pt idx="758">
                  <c:v>-1.2220847288223742E-3</c:v>
                </c:pt>
                <c:pt idx="759">
                  <c:v>1.7445835818620063E-3</c:v>
                </c:pt>
                <c:pt idx="760">
                  <c:v>-9.7281877922991682E-3</c:v>
                </c:pt>
                <c:pt idx="761">
                  <c:v>1.4361079431093877E-3</c:v>
                </c:pt>
                <c:pt idx="762">
                  <c:v>-1.2949600854459031E-3</c:v>
                </c:pt>
                <c:pt idx="763">
                  <c:v>-8.5842916668820584E-4</c:v>
                </c:pt>
                <c:pt idx="764">
                  <c:v>3.332133770822897E-3</c:v>
                </c:pt>
                <c:pt idx="765">
                  <c:v>-5.258059768381027E-3</c:v>
                </c:pt>
                <c:pt idx="766">
                  <c:v>2.1963354389688441E-3</c:v>
                </c:pt>
                <c:pt idx="767">
                  <c:v>-5.9951097199226449E-4</c:v>
                </c:pt>
                <c:pt idx="768">
                  <c:v>-5.8230786633192092E-3</c:v>
                </c:pt>
                <c:pt idx="769">
                  <c:v>-6.195879157133692E-3</c:v>
                </c:pt>
                <c:pt idx="770">
                  <c:v>-3.5025262625819177E-3</c:v>
                </c:pt>
                <c:pt idx="771">
                  <c:v>-4.3385069807921972E-3</c:v>
                </c:pt>
                <c:pt idx="772">
                  <c:v>-4.6068868039278059E-4</c:v>
                </c:pt>
                <c:pt idx="773">
                  <c:v>-7.3661957802598601E-4</c:v>
                </c:pt>
                <c:pt idx="774">
                  <c:v>-5.5212595084629405E-4</c:v>
                </c:pt>
                <c:pt idx="775">
                  <c:v>7.5954644250160646E-3</c:v>
                </c:pt>
                <c:pt idx="776">
                  <c:v>-4.485791708375095E-3</c:v>
                </c:pt>
                <c:pt idx="777">
                  <c:v>3.188898024817362E-3</c:v>
                </c:pt>
                <c:pt idx="778">
                  <c:v>3.2686447339312667E-3</c:v>
                </c:pt>
                <c:pt idx="779">
                  <c:v>-6.2670004984038952E-4</c:v>
                </c:pt>
                <c:pt idx="780">
                  <c:v>-5.5677558346119984E-4</c:v>
                </c:pt>
                <c:pt idx="781">
                  <c:v>5.4884817431871411E-3</c:v>
                </c:pt>
                <c:pt idx="782">
                  <c:v>-1.0854815266954901E-2</c:v>
                </c:pt>
                <c:pt idx="783">
                  <c:v>-4.2815606204549194E-3</c:v>
                </c:pt>
                <c:pt idx="784">
                  <c:v>1.3791753995160663E-3</c:v>
                </c:pt>
                <c:pt idx="785">
                  <c:v>-5.0590944020636386E-3</c:v>
                </c:pt>
                <c:pt idx="786">
                  <c:v>5.2654136681040318E-4</c:v>
                </c:pt>
                <c:pt idx="787">
                  <c:v>-8.1255037292908994E-4</c:v>
                </c:pt>
                <c:pt idx="788">
                  <c:v>-1.8743540151633846E-3</c:v>
                </c:pt>
                <c:pt idx="789">
                  <c:v>-1.3169321097392465E-2</c:v>
                </c:pt>
                <c:pt idx="790">
                  <c:v>2.6064499791686449E-3</c:v>
                </c:pt>
                <c:pt idx="791">
                  <c:v>6.0060074274823757E-3</c:v>
                </c:pt>
                <c:pt idx="792">
                  <c:v>-3.3439965755878345E-3</c:v>
                </c:pt>
                <c:pt idx="793">
                  <c:v>1.0620060466438334E-3</c:v>
                </c:pt>
                <c:pt idx="794">
                  <c:v>2.9073640843009819E-3</c:v>
                </c:pt>
                <c:pt idx="795">
                  <c:v>-7.9581286308412805E-4</c:v>
                </c:pt>
                <c:pt idx="796">
                  <c:v>-1.476308352667662E-3</c:v>
                </c:pt>
                <c:pt idx="797">
                  <c:v>1.5331408076590641E-3</c:v>
                </c:pt>
                <c:pt idx="798">
                  <c:v>1.2509284037315932E-3</c:v>
                </c:pt>
                <c:pt idx="799">
                  <c:v>1.0242105753356275E-4</c:v>
                </c:pt>
                <c:pt idx="800">
                  <c:v>-6.4545695014358246E-3</c:v>
                </c:pt>
                <c:pt idx="801">
                  <c:v>1.1992817077278132E-3</c:v>
                </c:pt>
                <c:pt idx="802">
                  <c:v>-2.1034561894363868E-3</c:v>
                </c:pt>
                <c:pt idx="803">
                  <c:v>1.8317654486039987E-3</c:v>
                </c:pt>
                <c:pt idx="804">
                  <c:v>1.6764569666198928E-3</c:v>
                </c:pt>
                <c:pt idx="805">
                  <c:v>5.6844119608475989E-3</c:v>
                </c:pt>
                <c:pt idx="806">
                  <c:v>-4.6736352624946885E-4</c:v>
                </c:pt>
                <c:pt idx="807">
                  <c:v>2.9633164469500088E-4</c:v>
                </c:pt>
                <c:pt idx="808">
                  <c:v>-1.5958978190502791E-4</c:v>
                </c:pt>
                <c:pt idx="809">
                  <c:v>-1.1276803162152361E-3</c:v>
                </c:pt>
                <c:pt idx="810">
                  <c:v>-6.6831573675690502E-3</c:v>
                </c:pt>
                <c:pt idx="811">
                  <c:v>7.6932497773065549E-4</c:v>
                </c:pt>
                <c:pt idx="812">
                  <c:v>-4.4266558727126468E-3</c:v>
                </c:pt>
                <c:pt idx="813">
                  <c:v>-1.1599087455420284E-3</c:v>
                </c:pt>
                <c:pt idx="814">
                  <c:v>3.3707536195959316E-3</c:v>
                </c:pt>
                <c:pt idx="815">
                  <c:v>-1.3604694279966009E-2</c:v>
                </c:pt>
                <c:pt idx="816">
                  <c:v>6.6799167199783717E-5</c:v>
                </c:pt>
                <c:pt idx="817">
                  <c:v>-2.0588284610983435E-3</c:v>
                </c:pt>
                <c:pt idx="818">
                  <c:v>-4.6364320955582777E-3</c:v>
                </c:pt>
                <c:pt idx="819">
                  <c:v>-2.0451699740452302E-3</c:v>
                </c:pt>
                <c:pt idx="820">
                  <c:v>3.8727403667037411E-3</c:v>
                </c:pt>
                <c:pt idx="821">
                  <c:v>-3.397765176445397E-3</c:v>
                </c:pt>
                <c:pt idx="822">
                  <c:v>-3.0338096801961283E-3</c:v>
                </c:pt>
                <c:pt idx="823">
                  <c:v>5.4453467653055492E-3</c:v>
                </c:pt>
                <c:pt idx="824">
                  <c:v>1.5296237963480265E-3</c:v>
                </c:pt>
                <c:pt idx="825">
                  <c:v>-1.8396500593162613E-3</c:v>
                </c:pt>
                <c:pt idx="826">
                  <c:v>-2.0351912367283435E-3</c:v>
                </c:pt>
                <c:pt idx="827">
                  <c:v>2.2455392162244168E-3</c:v>
                </c:pt>
                <c:pt idx="828">
                  <c:v>-1.1079234341270351E-2</c:v>
                </c:pt>
                <c:pt idx="829">
                  <c:v>3.5219313928806467E-3</c:v>
                </c:pt>
                <c:pt idx="830">
                  <c:v>-4.3211800581949775E-3</c:v>
                </c:pt>
                <c:pt idx="831">
                  <c:v>2.3776300786362446E-3</c:v>
                </c:pt>
                <c:pt idx="832">
                  <c:v>-1.0525310367483331E-3</c:v>
                </c:pt>
                <c:pt idx="833">
                  <c:v>2.3697873577715597E-3</c:v>
                </c:pt>
                <c:pt idx="834">
                  <c:v>-1.8656177561230654E-3</c:v>
                </c:pt>
                <c:pt idx="835">
                  <c:v>1.2253870574788885E-3</c:v>
                </c:pt>
                <c:pt idx="836">
                  <c:v>-9.95071353367514E-4</c:v>
                </c:pt>
                <c:pt idx="837">
                  <c:v>5.3743528941596998E-4</c:v>
                </c:pt>
                <c:pt idx="838">
                  <c:v>-3.3299291372289341E-3</c:v>
                </c:pt>
                <c:pt idx="839">
                  <c:v>2.1018364478366208E-3</c:v>
                </c:pt>
                <c:pt idx="840">
                  <c:v>-1.2791673031950098E-3</c:v>
                </c:pt>
                <c:pt idx="841">
                  <c:v>3.2536756180835112E-3</c:v>
                </c:pt>
                <c:pt idx="842">
                  <c:v>-9.583661196798713E-3</c:v>
                </c:pt>
                <c:pt idx="843">
                  <c:v>3.4098233934546245E-3</c:v>
                </c:pt>
                <c:pt idx="844">
                  <c:v>7.2174896918837462E-3</c:v>
                </c:pt>
                <c:pt idx="845">
                  <c:v>4.2187588576140037E-3</c:v>
                </c:pt>
                <c:pt idx="846">
                  <c:v>-8.3857673374349343E-4</c:v>
                </c:pt>
                <c:pt idx="847">
                  <c:v>-1.9612094380583836E-3</c:v>
                </c:pt>
                <c:pt idx="848">
                  <c:v>5.395187428233315E-4</c:v>
                </c:pt>
                <c:pt idx="849">
                  <c:v>2.3596200186363735E-3</c:v>
                </c:pt>
                <c:pt idx="850">
                  <c:v>-6.6212038538408075E-4</c:v>
                </c:pt>
                <c:pt idx="851">
                  <c:v>-1.5983713645394372E-3</c:v>
                </c:pt>
                <c:pt idx="852">
                  <c:v>1.322562426522265E-3</c:v>
                </c:pt>
                <c:pt idx="853">
                  <c:v>6.8281938612094898E-3</c:v>
                </c:pt>
                <c:pt idx="854">
                  <c:v>-6.0448160556337144E-3</c:v>
                </c:pt>
                <c:pt idx="855">
                  <c:v>-2.986721481978255E-3</c:v>
                </c:pt>
                <c:pt idx="856">
                  <c:v>-1.5614754026152991E-3</c:v>
                </c:pt>
                <c:pt idx="857">
                  <c:v>-1.1420341228060322E-3</c:v>
                </c:pt>
                <c:pt idx="858">
                  <c:v>-4.2055842541281361E-3</c:v>
                </c:pt>
                <c:pt idx="859">
                  <c:v>7.3252593239468266E-4</c:v>
                </c:pt>
                <c:pt idx="860">
                  <c:v>1.2366253722872536E-3</c:v>
                </c:pt>
                <c:pt idx="861">
                  <c:v>9.9704056761119571E-4</c:v>
                </c:pt>
                <c:pt idx="862">
                  <c:v>-5.5891705188202149E-4</c:v>
                </c:pt>
                <c:pt idx="863">
                  <c:v>1.0451018299980229E-2</c:v>
                </c:pt>
                <c:pt idx="864">
                  <c:v>2.2054616205300589E-3</c:v>
                </c:pt>
                <c:pt idx="865">
                  <c:v>7.0142605559843476E-3</c:v>
                </c:pt>
                <c:pt idx="866">
                  <c:v>5.6808174538850757E-3</c:v>
                </c:pt>
                <c:pt idx="867">
                  <c:v>-2.8612389785595562E-3</c:v>
                </c:pt>
                <c:pt idx="868">
                  <c:v>3.119662979428704E-3</c:v>
                </c:pt>
                <c:pt idx="869">
                  <c:v>-7.1451647808818452E-3</c:v>
                </c:pt>
                <c:pt idx="870">
                  <c:v>-5.3550686690910412E-4</c:v>
                </c:pt>
                <c:pt idx="871">
                  <c:v>-1.3375470966784395E-3</c:v>
                </c:pt>
                <c:pt idx="872">
                  <c:v>3.9285020956318197E-3</c:v>
                </c:pt>
                <c:pt idx="873">
                  <c:v>3.6905621426299329E-4</c:v>
                </c:pt>
                <c:pt idx="874">
                  <c:v>3.586114911894412E-3</c:v>
                </c:pt>
                <c:pt idx="875">
                  <c:v>2.731851896782381E-3</c:v>
                </c:pt>
                <c:pt idx="876">
                  <c:v>4.5131613525448006E-3</c:v>
                </c:pt>
                <c:pt idx="877">
                  <c:v>-8.0978364298467179E-3</c:v>
                </c:pt>
                <c:pt idx="878">
                  <c:v>-2.923436689476016E-3</c:v>
                </c:pt>
                <c:pt idx="879">
                  <c:v>1.0182837387795686E-3</c:v>
                </c:pt>
                <c:pt idx="880">
                  <c:v>-2.2478191356838624E-3</c:v>
                </c:pt>
                <c:pt idx="881">
                  <c:v>-1.6742126328270638E-3</c:v>
                </c:pt>
                <c:pt idx="882">
                  <c:v>-2.0275719180895546E-3</c:v>
                </c:pt>
                <c:pt idx="883">
                  <c:v>-1.8680139256134027E-3</c:v>
                </c:pt>
                <c:pt idx="884">
                  <c:v>-3.2827270669329818E-3</c:v>
                </c:pt>
                <c:pt idx="885">
                  <c:v>-5.8666134908819947E-4</c:v>
                </c:pt>
                <c:pt idx="886">
                  <c:v>3.81383753015405E-3</c:v>
                </c:pt>
                <c:pt idx="887">
                  <c:v>5.5918589314191925E-3</c:v>
                </c:pt>
                <c:pt idx="888">
                  <c:v>-2.8777817136773358E-3</c:v>
                </c:pt>
                <c:pt idx="889">
                  <c:v>4.5672735001672815E-4</c:v>
                </c:pt>
                <c:pt idx="890">
                  <c:v>-2.0037862918731199E-3</c:v>
                </c:pt>
                <c:pt idx="891">
                  <c:v>3.5315994805370783E-3</c:v>
                </c:pt>
                <c:pt idx="892">
                  <c:v>-9.5930201451801742E-4</c:v>
                </c:pt>
                <c:pt idx="893">
                  <c:v>1.584460424695458E-3</c:v>
                </c:pt>
                <c:pt idx="894">
                  <c:v>2.5158265366644274E-3</c:v>
                </c:pt>
                <c:pt idx="895">
                  <c:v>1.2244085498223039E-2</c:v>
                </c:pt>
                <c:pt idx="896">
                  <c:v>-5.5943262529666417E-3</c:v>
                </c:pt>
                <c:pt idx="897">
                  <c:v>-7.9987219202739201E-4</c:v>
                </c:pt>
                <c:pt idx="898">
                  <c:v>-1.6764993949065861E-3</c:v>
                </c:pt>
                <c:pt idx="899">
                  <c:v>-2.2683655728047698E-3</c:v>
                </c:pt>
                <c:pt idx="900">
                  <c:v>7.3176338018658624E-3</c:v>
                </c:pt>
                <c:pt idx="901">
                  <c:v>4.9613813938697996E-3</c:v>
                </c:pt>
                <c:pt idx="902">
                  <c:v>-4.1474821058935353E-3</c:v>
                </c:pt>
                <c:pt idx="903">
                  <c:v>-2.0334402398467216E-3</c:v>
                </c:pt>
                <c:pt idx="904">
                  <c:v>4.603723863535171E-3</c:v>
                </c:pt>
                <c:pt idx="905">
                  <c:v>4.420077501288166E-3</c:v>
                </c:pt>
                <c:pt idx="906">
                  <c:v>5.984990893599571E-3</c:v>
                </c:pt>
                <c:pt idx="907">
                  <c:v>1.9433793857194674E-2</c:v>
                </c:pt>
                <c:pt idx="908">
                  <c:v>1.4845684660341764E-3</c:v>
                </c:pt>
                <c:pt idx="909">
                  <c:v>2.670756541501828E-3</c:v>
                </c:pt>
                <c:pt idx="910">
                  <c:v>-7.8512709931250445E-3</c:v>
                </c:pt>
                <c:pt idx="911">
                  <c:v>-8.7828084169741735E-3</c:v>
                </c:pt>
                <c:pt idx="912">
                  <c:v>2.0902192207491533E-3</c:v>
                </c:pt>
                <c:pt idx="913">
                  <c:v>3.584335026558911E-4</c:v>
                </c:pt>
                <c:pt idx="914">
                  <c:v>-3.7000929373568451E-4</c:v>
                </c:pt>
                <c:pt idx="915">
                  <c:v>2.8212916603312404E-4</c:v>
                </c:pt>
                <c:pt idx="916">
                  <c:v>-8.8459796811421482E-3</c:v>
                </c:pt>
                <c:pt idx="917">
                  <c:v>5.6434572064406096E-3</c:v>
                </c:pt>
                <c:pt idx="918">
                  <c:v>6.0232932908442808E-3</c:v>
                </c:pt>
                <c:pt idx="919">
                  <c:v>1.0268624974137384E-2</c:v>
                </c:pt>
                <c:pt idx="920">
                  <c:v>2.8861415230976742E-3</c:v>
                </c:pt>
                <c:pt idx="921">
                  <c:v>-7.0469857486279346E-4</c:v>
                </c:pt>
                <c:pt idx="922">
                  <c:v>5.1559102860599766E-3</c:v>
                </c:pt>
                <c:pt idx="923">
                  <c:v>2.5967675069199969E-4</c:v>
                </c:pt>
                <c:pt idx="924">
                  <c:v>6.3713748444862465E-3</c:v>
                </c:pt>
                <c:pt idx="925">
                  <c:v>-1.1881701040211302E-4</c:v>
                </c:pt>
                <c:pt idx="926">
                  <c:v>-6.0636148673813848E-3</c:v>
                </c:pt>
                <c:pt idx="927">
                  <c:v>-5.2169582357923959E-3</c:v>
                </c:pt>
                <c:pt idx="928">
                  <c:v>1.6928101878561337E-3</c:v>
                </c:pt>
                <c:pt idx="929">
                  <c:v>4.5873273185592454E-3</c:v>
                </c:pt>
                <c:pt idx="930">
                  <c:v>2.6392754703492612E-3</c:v>
                </c:pt>
                <c:pt idx="931">
                  <c:v>-1.5404855851503695E-4</c:v>
                </c:pt>
                <c:pt idx="932">
                  <c:v>-6.507646766929465E-3</c:v>
                </c:pt>
                <c:pt idx="933">
                  <c:v>3.3370928438090411E-3</c:v>
                </c:pt>
                <c:pt idx="934">
                  <c:v>-7.0384998739116602E-3</c:v>
                </c:pt>
                <c:pt idx="935">
                  <c:v>3.1953394345164187E-3</c:v>
                </c:pt>
                <c:pt idx="936">
                  <c:v>2.5683402280437615E-3</c:v>
                </c:pt>
                <c:pt idx="937">
                  <c:v>3.6873433191028687E-3</c:v>
                </c:pt>
                <c:pt idx="938">
                  <c:v>-2.0698830976506495E-3</c:v>
                </c:pt>
                <c:pt idx="939">
                  <c:v>-1.1454758200347293E-3</c:v>
                </c:pt>
                <c:pt idx="940">
                  <c:v>-5.6634049392757649E-4</c:v>
                </c:pt>
                <c:pt idx="941">
                  <c:v>-3.6734507610243728E-3</c:v>
                </c:pt>
                <c:pt idx="942">
                  <c:v>4.2161550881545436E-3</c:v>
                </c:pt>
                <c:pt idx="943">
                  <c:v>6.880556614423685E-3</c:v>
                </c:pt>
                <c:pt idx="944">
                  <c:v>-1.0708845546569021E-2</c:v>
                </c:pt>
                <c:pt idx="945">
                  <c:v>5.1037516344377854E-3</c:v>
                </c:pt>
                <c:pt idx="946">
                  <c:v>6.8060390077278581E-3</c:v>
                </c:pt>
                <c:pt idx="947">
                  <c:v>-5.7064423184311095E-3</c:v>
                </c:pt>
                <c:pt idx="948">
                  <c:v>-1.2177791030739229E-3</c:v>
                </c:pt>
                <c:pt idx="949">
                  <c:v>-4.2093151656815526E-3</c:v>
                </c:pt>
                <c:pt idx="950">
                  <c:v>-2.2329859754780233E-3</c:v>
                </c:pt>
                <c:pt idx="951">
                  <c:v>-8.0445273693056894E-3</c:v>
                </c:pt>
                <c:pt idx="952">
                  <c:v>4.7978965887435854E-3</c:v>
                </c:pt>
                <c:pt idx="953">
                  <c:v>-3.2944514871617444E-3</c:v>
                </c:pt>
                <c:pt idx="954">
                  <c:v>-3.5741937484792701E-3</c:v>
                </c:pt>
                <c:pt idx="955">
                  <c:v>4.5660802324123083E-3</c:v>
                </c:pt>
                <c:pt idx="956">
                  <c:v>-2.0409867105048163E-3</c:v>
                </c:pt>
                <c:pt idx="957">
                  <c:v>-4.4176246878032703E-3</c:v>
                </c:pt>
                <c:pt idx="958">
                  <c:v>-5.1025314763785117E-4</c:v>
                </c:pt>
                <c:pt idx="959">
                  <c:v>-3.194734944935745E-3</c:v>
                </c:pt>
                <c:pt idx="960">
                  <c:v>-7.2783063558198955E-4</c:v>
                </c:pt>
                <c:pt idx="961">
                  <c:v>1.1555490845874226E-3</c:v>
                </c:pt>
                <c:pt idx="962">
                  <c:v>-5.5479990305028117E-4</c:v>
                </c:pt>
                <c:pt idx="963">
                  <c:v>-1.3870354357456798E-4</c:v>
                </c:pt>
                <c:pt idx="964">
                  <c:v>-1.3969813990500188E-3</c:v>
                </c:pt>
                <c:pt idx="965">
                  <c:v>1.004253091759062E-3</c:v>
                </c:pt>
                <c:pt idx="966">
                  <c:v>-2.9867471093170577E-3</c:v>
                </c:pt>
                <c:pt idx="967">
                  <c:v>4.1538856254697719E-3</c:v>
                </c:pt>
                <c:pt idx="968">
                  <c:v>-2.7250332422633855E-3</c:v>
                </c:pt>
                <c:pt idx="969">
                  <c:v>1.0614216088370733E-3</c:v>
                </c:pt>
                <c:pt idx="970">
                  <c:v>3.1910413093684024E-3</c:v>
                </c:pt>
                <c:pt idx="971">
                  <c:v>-4.6905939281705984E-3</c:v>
                </c:pt>
                <c:pt idx="972">
                  <c:v>3.9612804206287057E-3</c:v>
                </c:pt>
                <c:pt idx="973">
                  <c:v>2.0387199391934379E-3</c:v>
                </c:pt>
                <c:pt idx="974">
                  <c:v>-1.5292757080025657E-2</c:v>
                </c:pt>
                <c:pt idx="975">
                  <c:v>3.3400148938117873E-3</c:v>
                </c:pt>
                <c:pt idx="976">
                  <c:v>-3.682528089923988E-3</c:v>
                </c:pt>
                <c:pt idx="977">
                  <c:v>-4.8626072092218574E-3</c:v>
                </c:pt>
                <c:pt idx="978">
                  <c:v>-2.1447710179466001E-3</c:v>
                </c:pt>
                <c:pt idx="979">
                  <c:v>-4.0838945771655899E-3</c:v>
                </c:pt>
                <c:pt idx="980">
                  <c:v>-5.2583591440011745E-3</c:v>
                </c:pt>
                <c:pt idx="981">
                  <c:v>1.9897145158812744E-3</c:v>
                </c:pt>
                <c:pt idx="982">
                  <c:v>6.1743297027777042E-3</c:v>
                </c:pt>
                <c:pt idx="983">
                  <c:v>1.2802404316169169E-3</c:v>
                </c:pt>
                <c:pt idx="984">
                  <c:v>-1.7896386025375672E-3</c:v>
                </c:pt>
                <c:pt idx="985">
                  <c:v>-3.6711829522995828E-3</c:v>
                </c:pt>
                <c:pt idx="986">
                  <c:v>-4.0171994894337183E-3</c:v>
                </c:pt>
                <c:pt idx="987">
                  <c:v>1.8771781439042179E-3</c:v>
                </c:pt>
                <c:pt idx="988">
                  <c:v>2.8506369365826918E-3</c:v>
                </c:pt>
                <c:pt idx="989">
                  <c:v>4.4441444020779167E-3</c:v>
                </c:pt>
                <c:pt idx="990">
                  <c:v>3.5485089034081033E-4</c:v>
                </c:pt>
                <c:pt idx="991">
                  <c:v>-4.8102937950243625E-3</c:v>
                </c:pt>
                <c:pt idx="992">
                  <c:v>-1.3537034451844383E-4</c:v>
                </c:pt>
                <c:pt idx="993">
                  <c:v>2.9940568572896092E-3</c:v>
                </c:pt>
                <c:pt idx="994">
                  <c:v>6.0494076661567198E-3</c:v>
                </c:pt>
                <c:pt idx="995">
                  <c:v>-2.8454078708271043E-4</c:v>
                </c:pt>
                <c:pt idx="996">
                  <c:v>9.1038816042687476E-5</c:v>
                </c:pt>
                <c:pt idx="997">
                  <c:v>-4.4404449066540929E-3</c:v>
                </c:pt>
                <c:pt idx="998">
                  <c:v>-8.0422104235796765E-4</c:v>
                </c:pt>
                <c:pt idx="999">
                  <c:v>-9.9143118555333476E-3</c:v>
                </c:pt>
                <c:pt idx="1000">
                  <c:v>2.9819798950028216E-4</c:v>
                </c:pt>
                <c:pt idx="1001">
                  <c:v>-2.571388447839561E-3</c:v>
                </c:pt>
                <c:pt idx="1002">
                  <c:v>1.7463819669574067E-3</c:v>
                </c:pt>
                <c:pt idx="1003">
                  <c:v>-1.0277770412936151E-2</c:v>
                </c:pt>
                <c:pt idx="1004">
                  <c:v>3.010008871278092E-3</c:v>
                </c:pt>
                <c:pt idx="1005">
                  <c:v>6.6292965172218953E-3</c:v>
                </c:pt>
                <c:pt idx="1006">
                  <c:v>-6.0507123516741704E-3</c:v>
                </c:pt>
                <c:pt idx="1007">
                  <c:v>-1.0568372008733895E-3</c:v>
                </c:pt>
                <c:pt idx="1008">
                  <c:v>5.7837375049124139E-4</c:v>
                </c:pt>
                <c:pt idx="1009">
                  <c:v>-3.2653262628496694E-3</c:v>
                </c:pt>
                <c:pt idx="1010">
                  <c:v>-1.5512373795369193E-3</c:v>
                </c:pt>
                <c:pt idx="1011">
                  <c:v>-4.9806952902269469E-3</c:v>
                </c:pt>
                <c:pt idx="1012">
                  <c:v>-4.6819484889305653E-3</c:v>
                </c:pt>
                <c:pt idx="1013">
                  <c:v>2.9649186146384712E-3</c:v>
                </c:pt>
                <c:pt idx="1014">
                  <c:v>4.7068816982765282E-3</c:v>
                </c:pt>
                <c:pt idx="1015">
                  <c:v>-4.8608451817064935E-3</c:v>
                </c:pt>
                <c:pt idx="1016">
                  <c:v>-1.6480013515961529E-3</c:v>
                </c:pt>
                <c:pt idx="1017">
                  <c:v>-1.2286990023894061E-3</c:v>
                </c:pt>
                <c:pt idx="1018">
                  <c:v>-5.1398870435628349E-3</c:v>
                </c:pt>
                <c:pt idx="1019">
                  <c:v>1.080432890997293E-3</c:v>
                </c:pt>
                <c:pt idx="1020">
                  <c:v>3.6318889163829138E-3</c:v>
                </c:pt>
                <c:pt idx="1021">
                  <c:v>3.7273728728537099E-4</c:v>
                </c:pt>
                <c:pt idx="1022">
                  <c:v>1.0420491741646597E-3</c:v>
                </c:pt>
                <c:pt idx="1023">
                  <c:v>5.6239869620855259E-3</c:v>
                </c:pt>
                <c:pt idx="1024">
                  <c:v>-7.1718781813644996E-4</c:v>
                </c:pt>
                <c:pt idx="1025">
                  <c:v>4.4126018072669035E-4</c:v>
                </c:pt>
                <c:pt idx="1026">
                  <c:v>-1.3011283438955836E-3</c:v>
                </c:pt>
                <c:pt idx="1027">
                  <c:v>7.165054474638548E-4</c:v>
                </c:pt>
                <c:pt idx="1028">
                  <c:v>3.1256380154095469E-3</c:v>
                </c:pt>
                <c:pt idx="1029">
                  <c:v>-1.3271555459955396E-4</c:v>
                </c:pt>
                <c:pt idx="1030">
                  <c:v>-2.3641694122538059E-3</c:v>
                </c:pt>
                <c:pt idx="1031">
                  <c:v>-3.4136385790844662E-3</c:v>
                </c:pt>
                <c:pt idx="1032">
                  <c:v>-6.424430339607665E-3</c:v>
                </c:pt>
                <c:pt idx="1033">
                  <c:v>3.9630987518255245E-3</c:v>
                </c:pt>
                <c:pt idx="1034">
                  <c:v>7.0121738945044558E-3</c:v>
                </c:pt>
                <c:pt idx="1035">
                  <c:v>4.3286573029909072E-3</c:v>
                </c:pt>
                <c:pt idx="1036">
                  <c:v>-4.1739777269550089E-3</c:v>
                </c:pt>
                <c:pt idx="1037">
                  <c:v>-6.2120539542944268E-3</c:v>
                </c:pt>
                <c:pt idx="1038">
                  <c:v>-6.4757862626189401E-4</c:v>
                </c:pt>
                <c:pt idx="1039">
                  <c:v>-1.8198450411339763E-3</c:v>
                </c:pt>
                <c:pt idx="1040">
                  <c:v>-4.4899541214468719E-4</c:v>
                </c:pt>
                <c:pt idx="1041">
                  <c:v>1.1174547791161414E-2</c:v>
                </c:pt>
                <c:pt idx="1042">
                  <c:v>2.804903008253336E-3</c:v>
                </c:pt>
                <c:pt idx="1043">
                  <c:v>-3.1923158946827656E-3</c:v>
                </c:pt>
                <c:pt idx="1044">
                  <c:v>-1.0619105608992302E-3</c:v>
                </c:pt>
                <c:pt idx="1045">
                  <c:v>7.2117625475219454E-3</c:v>
                </c:pt>
                <c:pt idx="1046">
                  <c:v>-4.3416756716430815E-4</c:v>
                </c:pt>
                <c:pt idx="1047">
                  <c:v>1.280815435850719E-3</c:v>
                </c:pt>
                <c:pt idx="1048">
                  <c:v>5.4757677772513452E-3</c:v>
                </c:pt>
                <c:pt idx="1049">
                  <c:v>-2.1267793832915058E-3</c:v>
                </c:pt>
                <c:pt idx="1050">
                  <c:v>-6.2645842963457926E-3</c:v>
                </c:pt>
                <c:pt idx="1051">
                  <c:v>-2.9404040210977583E-3</c:v>
                </c:pt>
                <c:pt idx="1052">
                  <c:v>6.6364190981412982E-3</c:v>
                </c:pt>
                <c:pt idx="1053">
                  <c:v>7.7929837712759041E-3</c:v>
                </c:pt>
                <c:pt idx="1054">
                  <c:v>-1.1796185509534327E-3</c:v>
                </c:pt>
                <c:pt idx="1055">
                  <c:v>8.3089690730881894E-3</c:v>
                </c:pt>
                <c:pt idx="1056">
                  <c:v>6.7928824596717383E-3</c:v>
                </c:pt>
                <c:pt idx="1057">
                  <c:v>-3.0045874885784806E-3</c:v>
                </c:pt>
                <c:pt idx="1058">
                  <c:v>-3.9241863828639529E-3</c:v>
                </c:pt>
                <c:pt idx="1059">
                  <c:v>1.8921300070178133E-3</c:v>
                </c:pt>
                <c:pt idx="1060">
                  <c:v>-9.6346307133371792E-4</c:v>
                </c:pt>
                <c:pt idx="1061">
                  <c:v>-1.6641437555745908E-3</c:v>
                </c:pt>
                <c:pt idx="1062">
                  <c:v>3.2720098976871791E-3</c:v>
                </c:pt>
                <c:pt idx="1063">
                  <c:v>5.0706950192373999E-3</c:v>
                </c:pt>
                <c:pt idx="1064">
                  <c:v>3.9356892037097308E-4</c:v>
                </c:pt>
                <c:pt idx="1065">
                  <c:v>-5.6628357383040348E-3</c:v>
                </c:pt>
                <c:pt idx="1066">
                  <c:v>-1.7491901079378866E-3</c:v>
                </c:pt>
                <c:pt idx="1067">
                  <c:v>2.6054940828186036E-4</c:v>
                </c:pt>
                <c:pt idx="1068">
                  <c:v>4.5311062987224066E-5</c:v>
                </c:pt>
                <c:pt idx="1069">
                  <c:v>-1.7092554759866711E-3</c:v>
                </c:pt>
                <c:pt idx="1070">
                  <c:v>3.1264815348744529E-3</c:v>
                </c:pt>
                <c:pt idx="1071">
                  <c:v>6.2417032006057522E-4</c:v>
                </c:pt>
                <c:pt idx="1072">
                  <c:v>-3.3660491988767288E-3</c:v>
                </c:pt>
                <c:pt idx="1073">
                  <c:v>4.752937723324448E-4</c:v>
                </c:pt>
                <c:pt idx="1074">
                  <c:v>7.5106288876545056E-3</c:v>
                </c:pt>
                <c:pt idx="1075">
                  <c:v>2.0254117177799836E-2</c:v>
                </c:pt>
                <c:pt idx="1076">
                  <c:v>8.8846978055588943E-3</c:v>
                </c:pt>
                <c:pt idx="1077">
                  <c:v>-9.4664162993477966E-3</c:v>
                </c:pt>
                <c:pt idx="1078">
                  <c:v>1.6477744046848271E-2</c:v>
                </c:pt>
                <c:pt idx="1079">
                  <c:v>-1.1510262943852025E-2</c:v>
                </c:pt>
                <c:pt idx="1080">
                  <c:v>4.1396861997215886E-2</c:v>
                </c:pt>
                <c:pt idx="1081">
                  <c:v>3.2950943471099104E-3</c:v>
                </c:pt>
                <c:pt idx="1082">
                  <c:v>2.5703382312204665E-3</c:v>
                </c:pt>
                <c:pt idx="1083">
                  <c:v>-5.8776328793875357E-3</c:v>
                </c:pt>
                <c:pt idx="1084">
                  <c:v>8.5897261274774303E-3</c:v>
                </c:pt>
                <c:pt idx="1085">
                  <c:v>5.7924797201344734E-3</c:v>
                </c:pt>
                <c:pt idx="1086">
                  <c:v>-2.0818779638818511E-2</c:v>
                </c:pt>
                <c:pt idx="1087">
                  <c:v>-4.5051910214826711E-3</c:v>
                </c:pt>
                <c:pt idx="1088">
                  <c:v>1.2782436846080943E-3</c:v>
                </c:pt>
                <c:pt idx="1089">
                  <c:v>4.1032730508255768E-4</c:v>
                </c:pt>
                <c:pt idx="1090">
                  <c:v>8.7416413736158844E-3</c:v>
                </c:pt>
                <c:pt idx="1091">
                  <c:v>-2.7118769292097319E-3</c:v>
                </c:pt>
                <c:pt idx="1092">
                  <c:v>-3.0799383872910646E-3</c:v>
                </c:pt>
                <c:pt idx="1093">
                  <c:v>-3.6497413528569396E-3</c:v>
                </c:pt>
                <c:pt idx="1094">
                  <c:v>5.9041608651026842E-3</c:v>
                </c:pt>
                <c:pt idx="1095">
                  <c:v>2.8058065007737451E-3</c:v>
                </c:pt>
                <c:pt idx="1096">
                  <c:v>-4.660645826735435E-3</c:v>
                </c:pt>
                <c:pt idx="1097">
                  <c:v>2.0369028439193603E-3</c:v>
                </c:pt>
                <c:pt idx="1098">
                  <c:v>-9.4821685028598935E-3</c:v>
                </c:pt>
                <c:pt idx="1099">
                  <c:v>-2.3175797502042505E-3</c:v>
                </c:pt>
                <c:pt idx="1100">
                  <c:v>-1.3273147571370464E-2</c:v>
                </c:pt>
                <c:pt idx="1101">
                  <c:v>6.459675604960277E-3</c:v>
                </c:pt>
                <c:pt idx="1102">
                  <c:v>-2.144426352743195E-3</c:v>
                </c:pt>
                <c:pt idx="1103">
                  <c:v>7.9149517823024224E-3</c:v>
                </c:pt>
                <c:pt idx="1104">
                  <c:v>-1.0179598576861664E-3</c:v>
                </c:pt>
                <c:pt idx="1105">
                  <c:v>5.507160393092795E-4</c:v>
                </c:pt>
                <c:pt idx="1106">
                  <c:v>9.9633755884446056E-3</c:v>
                </c:pt>
                <c:pt idx="1107">
                  <c:v>1.9881428172921585E-3</c:v>
                </c:pt>
                <c:pt idx="1108">
                  <c:v>-4.0037128799937961E-3</c:v>
                </c:pt>
                <c:pt idx="1109">
                  <c:v>9.6555357330718964E-3</c:v>
                </c:pt>
                <c:pt idx="1110">
                  <c:v>-8.3026191061987744E-3</c:v>
                </c:pt>
                <c:pt idx="1111">
                  <c:v>-6.3742111670227987E-3</c:v>
                </c:pt>
                <c:pt idx="1112">
                  <c:v>1.2789386205914579E-2</c:v>
                </c:pt>
                <c:pt idx="1113">
                  <c:v>-3.6489829635320375E-4</c:v>
                </c:pt>
                <c:pt idx="1114">
                  <c:v>7.727928871617766E-3</c:v>
                </c:pt>
                <c:pt idx="1115">
                  <c:v>-8.48166414290971E-3</c:v>
                </c:pt>
                <c:pt idx="1116">
                  <c:v>5.9968804875677774E-3</c:v>
                </c:pt>
                <c:pt idx="1117">
                  <c:v>-1.5636384045582881E-3</c:v>
                </c:pt>
                <c:pt idx="1118">
                  <c:v>-2.4504439255868538E-3</c:v>
                </c:pt>
                <c:pt idx="1119">
                  <c:v>7.3015200476142622E-5</c:v>
                </c:pt>
                <c:pt idx="1120">
                  <c:v>-8.7633837374964272E-4</c:v>
                </c:pt>
                <c:pt idx="1121">
                  <c:v>4.2917939105537335E-3</c:v>
                </c:pt>
                <c:pt idx="1122">
                  <c:v>1.1552309714373918E-2</c:v>
                </c:pt>
                <c:pt idx="1123">
                  <c:v>-3.9673588576101806E-3</c:v>
                </c:pt>
                <c:pt idx="1124">
                  <c:v>-1.8377107939716044E-3</c:v>
                </c:pt>
                <c:pt idx="1125">
                  <c:v>-3.8759262389652161E-3</c:v>
                </c:pt>
                <c:pt idx="1126">
                  <c:v>5.8777687849077733E-4</c:v>
                </c:pt>
                <c:pt idx="1127">
                  <c:v>-1.664483497429894E-3</c:v>
                </c:pt>
                <c:pt idx="1128">
                  <c:v>6.3422805378422391E-3</c:v>
                </c:pt>
                <c:pt idx="1129">
                  <c:v>9.1857966585494472E-3</c:v>
                </c:pt>
                <c:pt idx="1130">
                  <c:v>1.7651556807252774E-3</c:v>
                </c:pt>
                <c:pt idx="1131">
                  <c:v>3.5397606974366435E-3</c:v>
                </c:pt>
                <c:pt idx="1132">
                  <c:v>3.3017887683500996E-3</c:v>
                </c:pt>
                <c:pt idx="1133">
                  <c:v>6.9517613365440547E-3</c:v>
                </c:pt>
                <c:pt idx="1134">
                  <c:v>2.5641066715320474E-3</c:v>
                </c:pt>
                <c:pt idx="1135">
                  <c:v>-1.0238563008196486E-3</c:v>
                </c:pt>
                <c:pt idx="1136">
                  <c:v>-3.2795365886574466E-3</c:v>
                </c:pt>
                <c:pt idx="1137">
                  <c:v>7.5512577308865973E-5</c:v>
                </c:pt>
                <c:pt idx="1138">
                  <c:v>-3.9215799698093211E-3</c:v>
                </c:pt>
                <c:pt idx="1139">
                  <c:v>1.6195847913890603E-3</c:v>
                </c:pt>
                <c:pt idx="1140">
                  <c:v>3.7009094097010058E-3</c:v>
                </c:pt>
                <c:pt idx="1141">
                  <c:v>-4.7683805123786916E-3</c:v>
                </c:pt>
                <c:pt idx="1142">
                  <c:v>-8.78260589758745E-5</c:v>
                </c:pt>
                <c:pt idx="1143">
                  <c:v>-1.3544915336939699E-3</c:v>
                </c:pt>
                <c:pt idx="1144">
                  <c:v>-4.4394687285770418E-3</c:v>
                </c:pt>
                <c:pt idx="1145">
                  <c:v>6.2404206586569126E-4</c:v>
                </c:pt>
                <c:pt idx="1146">
                  <c:v>-2.4441707337604988E-3</c:v>
                </c:pt>
                <c:pt idx="1147">
                  <c:v>2.1196024041814643E-3</c:v>
                </c:pt>
                <c:pt idx="1148">
                  <c:v>3.871766358452313E-3</c:v>
                </c:pt>
                <c:pt idx="1149">
                  <c:v>5.5965182717005535E-3</c:v>
                </c:pt>
                <c:pt idx="1150">
                  <c:v>1.9965991234743023E-3</c:v>
                </c:pt>
                <c:pt idx="1151">
                  <c:v>-3.5578396194332275E-3</c:v>
                </c:pt>
                <c:pt idx="1152">
                  <c:v>-6.2879034148434216E-4</c:v>
                </c:pt>
                <c:pt idx="1153">
                  <c:v>-9.671833143196298E-3</c:v>
                </c:pt>
                <c:pt idx="1154">
                  <c:v>-2.9467186761383212E-3</c:v>
                </c:pt>
                <c:pt idx="1155">
                  <c:v>-9.5634464402409598E-3</c:v>
                </c:pt>
                <c:pt idx="1156">
                  <c:v>-8.4810911051073641E-4</c:v>
                </c:pt>
                <c:pt idx="1157">
                  <c:v>1.2225826255712035E-2</c:v>
                </c:pt>
                <c:pt idx="1158">
                  <c:v>-3.8234923292905267E-3</c:v>
                </c:pt>
                <c:pt idx="1159">
                  <c:v>2.106460926696826E-4</c:v>
                </c:pt>
                <c:pt idx="1160">
                  <c:v>1.0787422983066569E-3</c:v>
                </c:pt>
                <c:pt idx="1161">
                  <c:v>4.4673714367450453E-4</c:v>
                </c:pt>
                <c:pt idx="1162">
                  <c:v>-2.2068905978411633E-3</c:v>
                </c:pt>
                <c:pt idx="1163">
                  <c:v>-5.3480761933792365E-3</c:v>
                </c:pt>
                <c:pt idx="1164">
                  <c:v>6.9965765381126395E-3</c:v>
                </c:pt>
                <c:pt idx="1165">
                  <c:v>1.7630600221856469E-3</c:v>
                </c:pt>
                <c:pt idx="1166">
                  <c:v>-3.4734167158285609E-3</c:v>
                </c:pt>
                <c:pt idx="1167">
                  <c:v>1.1399373305157683E-3</c:v>
                </c:pt>
                <c:pt idx="1168">
                  <c:v>-1.0037449611303389E-3</c:v>
                </c:pt>
                <c:pt idx="1169">
                  <c:v>-4.457856795357169E-4</c:v>
                </c:pt>
                <c:pt idx="1170">
                  <c:v>4.5040334080061334E-3</c:v>
                </c:pt>
                <c:pt idx="1171">
                  <c:v>-5.6175552529068419E-3</c:v>
                </c:pt>
                <c:pt idx="1172">
                  <c:v>7.958181515029002E-3</c:v>
                </c:pt>
                <c:pt idx="1173">
                  <c:v>-4.8618999541437859E-3</c:v>
                </c:pt>
                <c:pt idx="1174">
                  <c:v>2.9939145603073663E-3</c:v>
                </c:pt>
                <c:pt idx="1175">
                  <c:v>2.8157073420725797E-3</c:v>
                </c:pt>
                <c:pt idx="1176">
                  <c:v>-1.122869096802902E-4</c:v>
                </c:pt>
                <c:pt idx="1177">
                  <c:v>1.7981053147226277E-3</c:v>
                </c:pt>
                <c:pt idx="1178">
                  <c:v>-6.4032592057326572E-3</c:v>
                </c:pt>
                <c:pt idx="1179">
                  <c:v>1.851975170061555E-3</c:v>
                </c:pt>
                <c:pt idx="1180">
                  <c:v>-1.65329548621184E-3</c:v>
                </c:pt>
                <c:pt idx="1181">
                  <c:v>7.4175951462940428E-3</c:v>
                </c:pt>
                <c:pt idx="1182">
                  <c:v>8.0025407264638238E-3</c:v>
                </c:pt>
                <c:pt idx="1183">
                  <c:v>-5.6473705696338476E-3</c:v>
                </c:pt>
                <c:pt idx="1184">
                  <c:v>-1.716840690165272E-3</c:v>
                </c:pt>
                <c:pt idx="1185">
                  <c:v>3.4114723454447063E-3</c:v>
                </c:pt>
                <c:pt idx="1186">
                  <c:v>-9.4183317414527263E-4</c:v>
                </c:pt>
                <c:pt idx="1187">
                  <c:v>2.5638821187704622E-3</c:v>
                </c:pt>
                <c:pt idx="1188">
                  <c:v>1.1072020014863248E-2</c:v>
                </c:pt>
                <c:pt idx="1189">
                  <c:v>-3.087138783015662E-3</c:v>
                </c:pt>
                <c:pt idx="1190">
                  <c:v>-5.2756559680929216E-3</c:v>
                </c:pt>
                <c:pt idx="1191">
                  <c:v>-4.683021651056044E-3</c:v>
                </c:pt>
                <c:pt idx="1192">
                  <c:v>4.8344307658806686E-3</c:v>
                </c:pt>
                <c:pt idx="1193">
                  <c:v>1.2122495424619832E-3</c:v>
                </c:pt>
                <c:pt idx="1194">
                  <c:v>-4.0728839210411325E-3</c:v>
                </c:pt>
                <c:pt idx="1195">
                  <c:v>-6.7474194893461705E-3</c:v>
                </c:pt>
                <c:pt idx="1196">
                  <c:v>3.2049948600853767E-3</c:v>
                </c:pt>
                <c:pt idx="1197">
                  <c:v>3.5112124991532138E-4</c:v>
                </c:pt>
                <c:pt idx="1198">
                  <c:v>1.2552364257455036E-3</c:v>
                </c:pt>
                <c:pt idx="1199">
                  <c:v>-8.9135162170540046E-4</c:v>
                </c:pt>
                <c:pt idx="1200">
                  <c:v>-1.3806148828870689E-4</c:v>
                </c:pt>
                <c:pt idx="1201">
                  <c:v>-2.1326229855411966E-4</c:v>
                </c:pt>
                <c:pt idx="1202">
                  <c:v>2.8641396845458609E-3</c:v>
                </c:pt>
                <c:pt idx="1203">
                  <c:v>-4.6187602995570766E-3</c:v>
                </c:pt>
                <c:pt idx="1204">
                  <c:v>-3.6373218090280054E-3</c:v>
                </c:pt>
                <c:pt idx="1205">
                  <c:v>-5.8096219023799217E-3</c:v>
                </c:pt>
                <c:pt idx="1206">
                  <c:v>4.7870867595724157E-3</c:v>
                </c:pt>
                <c:pt idx="1207">
                  <c:v>-2.4523613093595576E-3</c:v>
                </c:pt>
                <c:pt idx="1208">
                  <c:v>3.4374908691896032E-3</c:v>
                </c:pt>
                <c:pt idx="1209">
                  <c:v>6.2325338660143602E-3</c:v>
                </c:pt>
                <c:pt idx="1210">
                  <c:v>5.9431452993717283E-3</c:v>
                </c:pt>
                <c:pt idx="1211">
                  <c:v>-2.2202402644987984E-3</c:v>
                </c:pt>
                <c:pt idx="1212">
                  <c:v>1.5006487398875204E-3</c:v>
                </c:pt>
                <c:pt idx="1213">
                  <c:v>-5.4118793903803215E-3</c:v>
                </c:pt>
                <c:pt idx="1214">
                  <c:v>7.6594398702424646E-4</c:v>
                </c:pt>
                <c:pt idx="1215">
                  <c:v>1.26950713392747E-3</c:v>
                </c:pt>
                <c:pt idx="1216">
                  <c:v>-1.2192669337226035E-3</c:v>
                </c:pt>
                <c:pt idx="1217">
                  <c:v>1.8105553345928497E-3</c:v>
                </c:pt>
                <c:pt idx="1218">
                  <c:v>2.2426470821616615E-3</c:v>
                </c:pt>
                <c:pt idx="1219">
                  <c:v>-8.7528590824370398E-3</c:v>
                </c:pt>
                <c:pt idx="1220">
                  <c:v>-2.2356170986437196E-3</c:v>
                </c:pt>
                <c:pt idx="1221">
                  <c:v>-4.1207474487716137E-3</c:v>
                </c:pt>
                <c:pt idx="1222">
                  <c:v>-4.0049343031221948E-3</c:v>
                </c:pt>
                <c:pt idx="1223">
                  <c:v>-2.7185709742934285E-3</c:v>
                </c:pt>
                <c:pt idx="1224">
                  <c:v>7.4068910280538009E-4</c:v>
                </c:pt>
                <c:pt idx="1225">
                  <c:v>4.7412129047132287E-3</c:v>
                </c:pt>
                <c:pt idx="1226">
                  <c:v>-1.4755292677656932E-3</c:v>
                </c:pt>
                <c:pt idx="1227">
                  <c:v>2.394168838729211E-3</c:v>
                </c:pt>
                <c:pt idx="1228">
                  <c:v>6.0168764039080303E-3</c:v>
                </c:pt>
                <c:pt idx="1229">
                  <c:v>3.1411486158391361E-3</c:v>
                </c:pt>
                <c:pt idx="1230">
                  <c:v>5.7193404139001102E-3</c:v>
                </c:pt>
                <c:pt idx="1231">
                  <c:v>-1.2724019424585795E-3</c:v>
                </c:pt>
                <c:pt idx="1232">
                  <c:v>-2.4645783388518596E-3</c:v>
                </c:pt>
                <c:pt idx="1233">
                  <c:v>-4.961065391440582E-3</c:v>
                </c:pt>
                <c:pt idx="1234">
                  <c:v>-6.5021791879539262E-3</c:v>
                </c:pt>
                <c:pt idx="1235">
                  <c:v>-7.4519682018293508E-5</c:v>
                </c:pt>
                <c:pt idx="1236">
                  <c:v>-3.9525262968035267E-3</c:v>
                </c:pt>
                <c:pt idx="1237">
                  <c:v>7.4151998953777678E-5</c:v>
                </c:pt>
                <c:pt idx="1238">
                  <c:v>7.7944453224741965E-4</c:v>
                </c:pt>
                <c:pt idx="1239">
                  <c:v>4.192046953627071E-3</c:v>
                </c:pt>
                <c:pt idx="1240">
                  <c:v>1.5672013004867759E-3</c:v>
                </c:pt>
                <c:pt idx="1241">
                  <c:v>-1.5672013004867972E-3</c:v>
                </c:pt>
                <c:pt idx="1242">
                  <c:v>2.1648805520054939E-3</c:v>
                </c:pt>
                <c:pt idx="1243">
                  <c:v>3.8687167643405907E-3</c:v>
                </c:pt>
                <c:pt idx="1244">
                  <c:v>-5.0139612114565571E-3</c:v>
                </c:pt>
                <c:pt idx="1245">
                  <c:v>-1.3302787280145647E-3</c:v>
                </c:pt>
                <c:pt idx="1246">
                  <c:v>-2.2190930180497688E-3</c:v>
                </c:pt>
                <c:pt idx="1247">
                  <c:v>9.1535799126265464E-4</c:v>
                </c:pt>
                <c:pt idx="1248">
                  <c:v>8.1232049277944942E-3</c:v>
                </c:pt>
                <c:pt idx="1249">
                  <c:v>5.7584667458570214E-3</c:v>
                </c:pt>
                <c:pt idx="1250">
                  <c:v>-1.6971028086005537E-3</c:v>
                </c:pt>
                <c:pt idx="1251">
                  <c:v>1.6329834235306488E-4</c:v>
                </c:pt>
                <c:pt idx="1252">
                  <c:v>1.0181273226864604E-3</c:v>
                </c:pt>
                <c:pt idx="1253">
                  <c:v>0</c:v>
                </c:pt>
                <c:pt idx="1254">
                  <c:v>1.4976082141008055E-3</c:v>
                </c:pt>
                <c:pt idx="1255">
                  <c:v>-2.2895745850127353E-3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0-46D1-90DC-300A7BABB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306800"/>
        <c:axId val="1328326000"/>
      </c:scatterChart>
      <c:valAx>
        <c:axId val="132830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Gold Log Returns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328326000"/>
        <c:crosses val="autoZero"/>
        <c:crossBetween val="midCat"/>
      </c:valAx>
      <c:valAx>
        <c:axId val="1328326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CHF Log Returns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328306800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25400</xdr:rowOff>
        </xdr:from>
        <xdr:to>
          <xdr:col>11</xdr:col>
          <xdr:colOff>641350</xdr:colOff>
          <xdr:row>6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7</xdr:row>
          <xdr:rowOff>6350</xdr:rowOff>
        </xdr:from>
        <xdr:to>
          <xdr:col>12</xdr:col>
          <xdr:colOff>6350</xdr:colOff>
          <xdr:row>9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Returns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11</xdr:row>
          <xdr:rowOff>25400</xdr:rowOff>
        </xdr:from>
        <xdr:to>
          <xdr:col>11</xdr:col>
          <xdr:colOff>635000</xdr:colOff>
          <xdr:row>13</xdr:row>
          <xdr:rowOff>146050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15</xdr:row>
          <xdr:rowOff>25400</xdr:rowOff>
        </xdr:from>
        <xdr:to>
          <xdr:col>11</xdr:col>
          <xdr:colOff>628650</xdr:colOff>
          <xdr:row>18</xdr:row>
          <xdr:rowOff>25400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Graphs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406400</xdr:colOff>
      <xdr:row>1</xdr:row>
      <xdr:rowOff>0</xdr:rowOff>
    </xdr:from>
    <xdr:to>
      <xdr:col>11</xdr:col>
      <xdr:colOff>171450</xdr:colOff>
      <xdr:row>21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0F8641-D09C-0125-1E63-B92631675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EB424-573D-4CD4-908C-C5A267159DE6}">
  <sheetPr codeName="Sheet1"/>
  <dimension ref="A1"/>
  <sheetViews>
    <sheetView zoomScale="63" workbookViewId="0">
      <selection activeCell="P19" sqref="P19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ata_Preparation">
                <anchor moveWithCells="1" sizeWithCells="1">
                  <from>
                    <xdr:col>10</xdr:col>
                    <xdr:colOff>12700</xdr:colOff>
                    <xdr:row>3</xdr:row>
                    <xdr:rowOff>25400</xdr:rowOff>
                  </from>
                  <to>
                    <xdr:col>11</xdr:col>
                    <xdr:colOff>641350</xdr:colOff>
                    <xdr:row>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culate_Log_Returns">
                <anchor moveWithCells="1" sizeWithCells="1">
                  <from>
                    <xdr:col>10</xdr:col>
                    <xdr:colOff>12700</xdr:colOff>
                    <xdr:row>7</xdr:row>
                    <xdr:rowOff>6350</xdr:rowOff>
                  </from>
                  <to>
                    <xdr:col>12</xdr:col>
                    <xdr:colOff>6350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enerate_Results">
                <anchor moveWithCells="1" sizeWithCells="1">
                  <from>
                    <xdr:col>10</xdr:col>
                    <xdr:colOff>25400</xdr:colOff>
                    <xdr:row>11</xdr:row>
                    <xdr:rowOff>25400</xdr:rowOff>
                  </from>
                  <to>
                    <xdr:col>11</xdr:col>
                    <xdr:colOff>635000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nerate_Chart">
                <anchor moveWithCells="1" sizeWithCells="1">
                  <from>
                    <xdr:col>10</xdr:col>
                    <xdr:colOff>57150</xdr:colOff>
                    <xdr:row>15</xdr:row>
                    <xdr:rowOff>25400</xdr:rowOff>
                  </from>
                  <to>
                    <xdr:col>11</xdr:col>
                    <xdr:colOff>628650</xdr:colOff>
                    <xdr:row>18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C0C72-E91E-4041-8EA0-D2FDF1B20B67}">
  <sheetPr codeName="Sheet2"/>
  <dimension ref="A1:E1303"/>
  <sheetViews>
    <sheetView zoomScale="78" workbookViewId="0">
      <selection activeCell="H9" sqref="H9"/>
    </sheetView>
  </sheetViews>
  <sheetFormatPr defaultRowHeight="14.5" x14ac:dyDescent="0.35"/>
  <cols>
    <col min="1" max="1" width="10.54296875" bestFit="1" customWidth="1"/>
    <col min="2" max="2" width="18.36328125" bestFit="1" customWidth="1"/>
    <col min="4" max="4" width="12.36328125" customWidth="1"/>
    <col min="5" max="5" width="18.36328125" bestFit="1" customWidth="1"/>
  </cols>
  <sheetData>
    <row r="1" spans="1:5" x14ac:dyDescent="0.35">
      <c r="A1" s="22" t="s">
        <v>2388</v>
      </c>
      <c r="B1" s="22" t="s">
        <v>2389</v>
      </c>
      <c r="D1" s="22" t="s">
        <v>2390</v>
      </c>
      <c r="E1" s="22" t="s">
        <v>2391</v>
      </c>
    </row>
    <row r="2" spans="1:5" x14ac:dyDescent="0.35">
      <c r="A2" s="1">
        <v>44187</v>
      </c>
      <c r="B2" t="s">
        <v>1</v>
      </c>
      <c r="D2" s="1">
        <v>44187</v>
      </c>
      <c r="E2" t="s">
        <v>1166</v>
      </c>
    </row>
    <row r="3" spans="1:5" x14ac:dyDescent="0.35">
      <c r="A3" s="1">
        <v>44188</v>
      </c>
      <c r="B3" t="s">
        <v>3</v>
      </c>
      <c r="D3" s="1">
        <v>44188</v>
      </c>
      <c r="E3" t="s">
        <v>1167</v>
      </c>
    </row>
    <row r="4" spans="1:5" x14ac:dyDescent="0.35">
      <c r="A4" s="1">
        <v>44189</v>
      </c>
      <c r="B4" t="s">
        <v>5</v>
      </c>
      <c r="D4" s="1">
        <v>44189</v>
      </c>
      <c r="E4" t="s">
        <v>1169</v>
      </c>
    </row>
    <row r="5" spans="1:5" x14ac:dyDescent="0.35">
      <c r="A5" s="1">
        <v>44190</v>
      </c>
      <c r="B5" t="s">
        <v>6</v>
      </c>
      <c r="D5" s="1">
        <v>44190</v>
      </c>
      <c r="E5" t="s">
        <v>1168</v>
      </c>
    </row>
    <row r="6" spans="1:5" x14ac:dyDescent="0.35">
      <c r="A6" s="1">
        <v>44194</v>
      </c>
      <c r="B6" t="s">
        <v>8</v>
      </c>
      <c r="D6" s="1">
        <v>44193</v>
      </c>
      <c r="E6" t="s">
        <v>1172</v>
      </c>
    </row>
    <row r="7" spans="1:5" x14ac:dyDescent="0.35">
      <c r="A7" s="1">
        <v>44195</v>
      </c>
      <c r="B7" t="s">
        <v>10</v>
      </c>
      <c r="D7" s="1">
        <v>44194</v>
      </c>
      <c r="E7" t="s">
        <v>1173</v>
      </c>
    </row>
    <row r="8" spans="1:5" x14ac:dyDescent="0.35">
      <c r="A8" s="1">
        <v>44196</v>
      </c>
      <c r="B8" t="s">
        <v>11</v>
      </c>
      <c r="D8" s="1">
        <v>44195</v>
      </c>
      <c r="E8" t="s">
        <v>1174</v>
      </c>
    </row>
    <row r="9" spans="1:5" x14ac:dyDescent="0.35">
      <c r="A9" s="1">
        <v>44200</v>
      </c>
      <c r="B9" t="s">
        <v>13</v>
      </c>
      <c r="D9" s="1">
        <v>44196</v>
      </c>
      <c r="E9" t="s">
        <v>1175</v>
      </c>
    </row>
    <row r="10" spans="1:5" x14ac:dyDescent="0.35">
      <c r="A10" s="1">
        <v>44201</v>
      </c>
      <c r="B10" t="s">
        <v>14</v>
      </c>
      <c r="D10" s="1">
        <v>44197</v>
      </c>
      <c r="E10" t="s">
        <v>1176</v>
      </c>
    </row>
    <row r="11" spans="1:5" x14ac:dyDescent="0.35">
      <c r="A11" s="1">
        <v>44202</v>
      </c>
      <c r="B11" t="s">
        <v>15</v>
      </c>
      <c r="D11" s="1">
        <v>44200</v>
      </c>
      <c r="E11" t="s">
        <v>1178</v>
      </c>
    </row>
    <row r="12" spans="1:5" x14ac:dyDescent="0.35">
      <c r="A12" s="1">
        <v>44203</v>
      </c>
      <c r="B12" t="s">
        <v>16</v>
      </c>
      <c r="D12" s="1">
        <v>44201</v>
      </c>
      <c r="E12" t="s">
        <v>1179</v>
      </c>
    </row>
    <row r="13" spans="1:5" x14ac:dyDescent="0.35">
      <c r="A13" s="1">
        <v>44204</v>
      </c>
      <c r="B13" t="s">
        <v>18</v>
      </c>
      <c r="D13" s="1">
        <v>44202</v>
      </c>
      <c r="E13" t="s">
        <v>1181</v>
      </c>
    </row>
    <row r="14" spans="1:5" x14ac:dyDescent="0.35">
      <c r="A14" s="1">
        <v>44207</v>
      </c>
      <c r="B14" t="s">
        <v>20</v>
      </c>
      <c r="D14" s="1">
        <v>44203</v>
      </c>
      <c r="E14" t="s">
        <v>1182</v>
      </c>
    </row>
    <row r="15" spans="1:5" x14ac:dyDescent="0.35">
      <c r="A15" s="1">
        <v>44208</v>
      </c>
      <c r="B15" t="s">
        <v>22</v>
      </c>
      <c r="D15" s="1">
        <v>44204</v>
      </c>
      <c r="E15" t="s">
        <v>1184</v>
      </c>
    </row>
    <row r="16" spans="1:5" x14ac:dyDescent="0.35">
      <c r="A16" s="1">
        <v>44209</v>
      </c>
      <c r="B16" t="s">
        <v>23</v>
      </c>
      <c r="D16" s="1">
        <v>44207</v>
      </c>
      <c r="E16" t="s">
        <v>1185</v>
      </c>
    </row>
    <row r="17" spans="1:5" x14ac:dyDescent="0.35">
      <c r="A17" s="1">
        <v>44210</v>
      </c>
      <c r="B17" t="s">
        <v>24</v>
      </c>
      <c r="D17" s="1">
        <v>44208</v>
      </c>
      <c r="E17" t="s">
        <v>1188</v>
      </c>
    </row>
    <row r="18" spans="1:5" x14ac:dyDescent="0.35">
      <c r="A18" s="1">
        <v>44211</v>
      </c>
      <c r="B18" t="s">
        <v>26</v>
      </c>
      <c r="D18" s="1">
        <v>44209</v>
      </c>
      <c r="E18" t="s">
        <v>1190</v>
      </c>
    </row>
    <row r="19" spans="1:5" x14ac:dyDescent="0.35">
      <c r="A19" s="1">
        <v>44215</v>
      </c>
      <c r="B19" t="s">
        <v>27</v>
      </c>
      <c r="D19" s="1">
        <v>44210</v>
      </c>
      <c r="E19" t="s">
        <v>1191</v>
      </c>
    </row>
    <row r="20" spans="1:5" x14ac:dyDescent="0.35">
      <c r="A20" s="1">
        <v>44216</v>
      </c>
      <c r="B20" t="s">
        <v>28</v>
      </c>
      <c r="D20" s="1">
        <v>44211</v>
      </c>
      <c r="E20" t="s">
        <v>1193</v>
      </c>
    </row>
    <row r="21" spans="1:5" x14ac:dyDescent="0.35">
      <c r="A21" s="1">
        <v>44217</v>
      </c>
      <c r="B21" t="s">
        <v>30</v>
      </c>
      <c r="D21" s="1">
        <v>44214</v>
      </c>
      <c r="E21" t="s">
        <v>1194</v>
      </c>
    </row>
    <row r="22" spans="1:5" x14ac:dyDescent="0.35">
      <c r="A22" s="1">
        <v>44218</v>
      </c>
      <c r="B22" t="s">
        <v>32</v>
      </c>
      <c r="D22" s="1">
        <v>44215</v>
      </c>
      <c r="E22" t="s">
        <v>1168</v>
      </c>
    </row>
    <row r="23" spans="1:5" x14ac:dyDescent="0.35">
      <c r="A23" s="1">
        <v>44221</v>
      </c>
      <c r="B23" t="s">
        <v>34</v>
      </c>
      <c r="D23" s="1">
        <v>44216</v>
      </c>
      <c r="E23" t="s">
        <v>1196</v>
      </c>
    </row>
    <row r="24" spans="1:5" x14ac:dyDescent="0.35">
      <c r="A24" s="1">
        <v>44222</v>
      </c>
      <c r="B24" t="s">
        <v>25</v>
      </c>
      <c r="D24" s="1">
        <v>44217</v>
      </c>
      <c r="E24" t="s">
        <v>1197</v>
      </c>
    </row>
    <row r="25" spans="1:5" x14ac:dyDescent="0.35">
      <c r="A25" s="1">
        <v>44223</v>
      </c>
      <c r="B25" t="s">
        <v>35</v>
      </c>
      <c r="D25" s="1">
        <v>44218</v>
      </c>
      <c r="E25" t="s">
        <v>1198</v>
      </c>
    </row>
    <row r="26" spans="1:5" x14ac:dyDescent="0.35">
      <c r="A26" s="1">
        <v>44224</v>
      </c>
      <c r="B26" t="s">
        <v>36</v>
      </c>
      <c r="D26" s="1">
        <v>44221</v>
      </c>
      <c r="E26" t="s">
        <v>1199</v>
      </c>
    </row>
    <row r="27" spans="1:5" x14ac:dyDescent="0.35">
      <c r="A27" s="1">
        <v>44225</v>
      </c>
      <c r="B27" t="s">
        <v>38</v>
      </c>
      <c r="D27" s="1">
        <v>44222</v>
      </c>
      <c r="E27" t="s">
        <v>1200</v>
      </c>
    </row>
    <row r="28" spans="1:5" x14ac:dyDescent="0.35">
      <c r="A28" s="1">
        <v>44228</v>
      </c>
      <c r="B28" t="s">
        <v>40</v>
      </c>
      <c r="D28" s="1">
        <v>44223</v>
      </c>
      <c r="E28" t="s">
        <v>1170</v>
      </c>
    </row>
    <row r="29" spans="1:5" x14ac:dyDescent="0.35">
      <c r="A29" s="1">
        <v>44229</v>
      </c>
      <c r="B29" t="s">
        <v>41</v>
      </c>
      <c r="D29" s="1">
        <v>44224</v>
      </c>
      <c r="E29" t="s">
        <v>1201</v>
      </c>
    </row>
    <row r="30" spans="1:5" x14ac:dyDescent="0.35">
      <c r="A30" s="1">
        <v>44230</v>
      </c>
      <c r="B30" t="s">
        <v>42</v>
      </c>
      <c r="D30" s="1">
        <v>44225</v>
      </c>
      <c r="E30" t="s">
        <v>1203</v>
      </c>
    </row>
    <row r="31" spans="1:5" x14ac:dyDescent="0.35">
      <c r="A31" s="1">
        <v>44231</v>
      </c>
      <c r="B31" t="s">
        <v>44</v>
      </c>
      <c r="D31" s="1">
        <v>44228</v>
      </c>
      <c r="E31" t="s">
        <v>1205</v>
      </c>
    </row>
    <row r="32" spans="1:5" x14ac:dyDescent="0.35">
      <c r="A32" s="1">
        <v>44232</v>
      </c>
      <c r="B32" t="s">
        <v>45</v>
      </c>
      <c r="D32" s="1">
        <v>44229</v>
      </c>
      <c r="E32" t="s">
        <v>1207</v>
      </c>
    </row>
    <row r="33" spans="1:5" x14ac:dyDescent="0.35">
      <c r="A33" s="1">
        <v>44235</v>
      </c>
      <c r="B33" t="s">
        <v>47</v>
      </c>
      <c r="D33" s="1">
        <v>44230</v>
      </c>
      <c r="E33" t="s">
        <v>1208</v>
      </c>
    </row>
    <row r="34" spans="1:5" x14ac:dyDescent="0.35">
      <c r="A34" s="1">
        <v>44236</v>
      </c>
      <c r="B34" t="s">
        <v>49</v>
      </c>
      <c r="D34" s="1">
        <v>44231</v>
      </c>
      <c r="E34" t="s">
        <v>1209</v>
      </c>
    </row>
    <row r="35" spans="1:5" x14ac:dyDescent="0.35">
      <c r="A35" s="1">
        <v>44237</v>
      </c>
      <c r="B35" t="s">
        <v>51</v>
      </c>
      <c r="D35" s="1">
        <v>44232</v>
      </c>
      <c r="E35" t="s">
        <v>1212</v>
      </c>
    </row>
    <row r="36" spans="1:5" x14ac:dyDescent="0.35">
      <c r="A36" s="1">
        <v>44238</v>
      </c>
      <c r="B36" t="s">
        <v>52</v>
      </c>
      <c r="D36" s="1">
        <v>44235</v>
      </c>
      <c r="E36" t="s">
        <v>1214</v>
      </c>
    </row>
    <row r="37" spans="1:5" x14ac:dyDescent="0.35">
      <c r="A37" s="1">
        <v>44239</v>
      </c>
      <c r="B37" t="s">
        <v>54</v>
      </c>
      <c r="D37" s="1">
        <v>44236</v>
      </c>
      <c r="E37" t="s">
        <v>1215</v>
      </c>
    </row>
    <row r="38" spans="1:5" x14ac:dyDescent="0.35">
      <c r="A38" s="1">
        <v>44243</v>
      </c>
      <c r="B38" t="s">
        <v>57</v>
      </c>
      <c r="D38" s="1">
        <v>44237</v>
      </c>
      <c r="E38" t="s">
        <v>1216</v>
      </c>
    </row>
    <row r="39" spans="1:5" x14ac:dyDescent="0.35">
      <c r="A39" s="1">
        <v>44244</v>
      </c>
      <c r="B39" t="s">
        <v>58</v>
      </c>
      <c r="D39" s="1">
        <v>44238</v>
      </c>
      <c r="E39" t="s">
        <v>1218</v>
      </c>
    </row>
    <row r="40" spans="1:5" x14ac:dyDescent="0.35">
      <c r="A40" s="1">
        <v>44245</v>
      </c>
      <c r="B40" t="s">
        <v>60</v>
      </c>
      <c r="D40" s="1">
        <v>44239</v>
      </c>
      <c r="E40" t="s">
        <v>1219</v>
      </c>
    </row>
    <row r="41" spans="1:5" x14ac:dyDescent="0.35">
      <c r="A41" s="1">
        <v>44246</v>
      </c>
      <c r="B41" t="s">
        <v>62</v>
      </c>
      <c r="D41" s="1">
        <v>44242</v>
      </c>
      <c r="E41" t="s">
        <v>1220</v>
      </c>
    </row>
    <row r="42" spans="1:5" x14ac:dyDescent="0.35">
      <c r="A42" s="1">
        <v>44249</v>
      </c>
      <c r="B42" t="s">
        <v>63</v>
      </c>
      <c r="D42" s="1">
        <v>44243</v>
      </c>
      <c r="E42" t="s">
        <v>1222</v>
      </c>
    </row>
    <row r="43" spans="1:5" x14ac:dyDescent="0.35">
      <c r="A43" s="1">
        <v>44250</v>
      </c>
      <c r="B43" t="s">
        <v>64</v>
      </c>
      <c r="D43" s="1">
        <v>44244</v>
      </c>
      <c r="E43" t="s">
        <v>1223</v>
      </c>
    </row>
    <row r="44" spans="1:5" x14ac:dyDescent="0.35">
      <c r="A44" s="1">
        <v>44251</v>
      </c>
      <c r="B44" t="s">
        <v>65</v>
      </c>
      <c r="D44" s="1">
        <v>44245</v>
      </c>
      <c r="E44" t="s">
        <v>1224</v>
      </c>
    </row>
    <row r="45" spans="1:5" x14ac:dyDescent="0.35">
      <c r="A45" s="1">
        <v>44252</v>
      </c>
      <c r="B45" t="s">
        <v>66</v>
      </c>
      <c r="D45" s="1">
        <v>44246</v>
      </c>
      <c r="E45" t="s">
        <v>1227</v>
      </c>
    </row>
    <row r="46" spans="1:5" x14ac:dyDescent="0.35">
      <c r="A46" s="1">
        <v>44253</v>
      </c>
      <c r="B46" t="s">
        <v>68</v>
      </c>
      <c r="D46" s="1">
        <v>44249</v>
      </c>
      <c r="E46" t="s">
        <v>1229</v>
      </c>
    </row>
    <row r="47" spans="1:5" x14ac:dyDescent="0.35">
      <c r="A47" s="1">
        <v>44256</v>
      </c>
      <c r="B47" t="s">
        <v>70</v>
      </c>
      <c r="D47" s="1">
        <v>44250</v>
      </c>
      <c r="E47" t="s">
        <v>1230</v>
      </c>
    </row>
    <row r="48" spans="1:5" x14ac:dyDescent="0.35">
      <c r="A48" s="1">
        <v>44257</v>
      </c>
      <c r="B48" t="s">
        <v>71</v>
      </c>
      <c r="D48" s="1">
        <v>44251</v>
      </c>
      <c r="E48" t="s">
        <v>1231</v>
      </c>
    </row>
    <row r="49" spans="1:5" x14ac:dyDescent="0.35">
      <c r="A49" s="1">
        <v>44258</v>
      </c>
      <c r="B49" t="s">
        <v>72</v>
      </c>
      <c r="D49" s="1">
        <v>44252</v>
      </c>
      <c r="E49" t="s">
        <v>1232</v>
      </c>
    </row>
    <row r="50" spans="1:5" x14ac:dyDescent="0.35">
      <c r="A50" s="1">
        <v>44259</v>
      </c>
      <c r="B50" t="s">
        <v>74</v>
      </c>
      <c r="D50" s="1">
        <v>44253</v>
      </c>
      <c r="E50" t="s">
        <v>1233</v>
      </c>
    </row>
    <row r="51" spans="1:5" x14ac:dyDescent="0.35">
      <c r="A51" s="1">
        <v>44260</v>
      </c>
      <c r="B51" t="s">
        <v>75</v>
      </c>
      <c r="D51" s="1">
        <v>44256</v>
      </c>
      <c r="E51" t="s">
        <v>1234</v>
      </c>
    </row>
    <row r="52" spans="1:5" x14ac:dyDescent="0.35">
      <c r="A52" s="1">
        <v>44263</v>
      </c>
      <c r="B52" t="s">
        <v>76</v>
      </c>
      <c r="D52" s="1">
        <v>44257</v>
      </c>
      <c r="E52" t="s">
        <v>1236</v>
      </c>
    </row>
    <row r="53" spans="1:5" x14ac:dyDescent="0.35">
      <c r="A53" s="1">
        <v>44264</v>
      </c>
      <c r="B53" t="s">
        <v>77</v>
      </c>
      <c r="D53" s="1">
        <v>44258</v>
      </c>
      <c r="E53" t="s">
        <v>1237</v>
      </c>
    </row>
    <row r="54" spans="1:5" x14ac:dyDescent="0.35">
      <c r="A54" s="1">
        <v>44265</v>
      </c>
      <c r="B54" t="s">
        <v>78</v>
      </c>
      <c r="D54" s="1">
        <v>44259</v>
      </c>
      <c r="E54" t="s">
        <v>1238</v>
      </c>
    </row>
    <row r="55" spans="1:5" x14ac:dyDescent="0.35">
      <c r="A55" s="1">
        <v>44266</v>
      </c>
      <c r="B55" t="s">
        <v>79</v>
      </c>
      <c r="D55" s="1">
        <v>44260</v>
      </c>
      <c r="E55" t="s">
        <v>1240</v>
      </c>
    </row>
    <row r="56" spans="1:5" x14ac:dyDescent="0.35">
      <c r="A56" s="1">
        <v>44267</v>
      </c>
      <c r="B56" t="s">
        <v>80</v>
      </c>
      <c r="D56" s="1">
        <v>44263</v>
      </c>
      <c r="E56" t="s">
        <v>1242</v>
      </c>
    </row>
    <row r="57" spans="1:5" x14ac:dyDescent="0.35">
      <c r="A57" s="1">
        <v>44270</v>
      </c>
      <c r="B57" t="s">
        <v>81</v>
      </c>
      <c r="D57" s="1">
        <v>44264</v>
      </c>
      <c r="E57" t="s">
        <v>1244</v>
      </c>
    </row>
    <row r="58" spans="1:5" x14ac:dyDescent="0.35">
      <c r="A58" s="1">
        <v>44271</v>
      </c>
      <c r="B58" t="s">
        <v>82</v>
      </c>
      <c r="D58" s="1">
        <v>44265</v>
      </c>
      <c r="E58" t="s">
        <v>1245</v>
      </c>
    </row>
    <row r="59" spans="1:5" x14ac:dyDescent="0.35">
      <c r="A59" s="1">
        <v>44272</v>
      </c>
      <c r="B59" t="s">
        <v>83</v>
      </c>
      <c r="D59" s="1">
        <v>44266</v>
      </c>
      <c r="E59" t="s">
        <v>1246</v>
      </c>
    </row>
    <row r="60" spans="1:5" x14ac:dyDescent="0.35">
      <c r="A60" s="1">
        <v>44273</v>
      </c>
      <c r="B60" t="s">
        <v>84</v>
      </c>
      <c r="D60" s="1">
        <v>44267</v>
      </c>
      <c r="E60" t="s">
        <v>1247</v>
      </c>
    </row>
    <row r="61" spans="1:5" x14ac:dyDescent="0.35">
      <c r="A61" s="1">
        <v>44274</v>
      </c>
      <c r="B61" t="s">
        <v>86</v>
      </c>
      <c r="D61" s="1">
        <v>44270</v>
      </c>
      <c r="E61" t="s">
        <v>1250</v>
      </c>
    </row>
    <row r="62" spans="1:5" x14ac:dyDescent="0.35">
      <c r="A62" s="1">
        <v>44277</v>
      </c>
      <c r="B62" t="s">
        <v>87</v>
      </c>
      <c r="D62" s="1">
        <v>44271</v>
      </c>
      <c r="E62" t="s">
        <v>1252</v>
      </c>
    </row>
    <row r="63" spans="1:5" x14ac:dyDescent="0.35">
      <c r="A63" s="1">
        <v>44278</v>
      </c>
      <c r="B63" t="s">
        <v>88</v>
      </c>
      <c r="D63" s="1">
        <v>44272</v>
      </c>
      <c r="E63" t="s">
        <v>1249</v>
      </c>
    </row>
    <row r="64" spans="1:5" x14ac:dyDescent="0.35">
      <c r="A64" s="1">
        <v>44279</v>
      </c>
      <c r="B64" t="s">
        <v>89</v>
      </c>
      <c r="D64" s="1">
        <v>44273</v>
      </c>
      <c r="E64" t="s">
        <v>1254</v>
      </c>
    </row>
    <row r="65" spans="1:5" x14ac:dyDescent="0.35">
      <c r="A65" s="1">
        <v>44280</v>
      </c>
      <c r="B65" t="s">
        <v>90</v>
      </c>
      <c r="D65" s="1">
        <v>44274</v>
      </c>
      <c r="E65" t="s">
        <v>1255</v>
      </c>
    </row>
    <row r="66" spans="1:5" x14ac:dyDescent="0.35">
      <c r="A66" s="1">
        <v>44281</v>
      </c>
      <c r="B66" t="s">
        <v>84</v>
      </c>
      <c r="D66" s="1">
        <v>44277</v>
      </c>
      <c r="E66" t="s">
        <v>1257</v>
      </c>
    </row>
    <row r="67" spans="1:5" x14ac:dyDescent="0.35">
      <c r="A67" s="1">
        <v>44284</v>
      </c>
      <c r="B67" t="s">
        <v>91</v>
      </c>
      <c r="D67" s="1">
        <v>44278</v>
      </c>
      <c r="E67" t="s">
        <v>1258</v>
      </c>
    </row>
    <row r="68" spans="1:5" x14ac:dyDescent="0.35">
      <c r="A68" s="1">
        <v>44285</v>
      </c>
      <c r="B68" t="s">
        <v>92</v>
      </c>
      <c r="D68" s="1">
        <v>44279</v>
      </c>
      <c r="E68" t="s">
        <v>1260</v>
      </c>
    </row>
    <row r="69" spans="1:5" x14ac:dyDescent="0.35">
      <c r="A69" s="1">
        <v>44286</v>
      </c>
      <c r="B69" t="s">
        <v>94</v>
      </c>
      <c r="D69" s="1">
        <v>44280</v>
      </c>
      <c r="E69" t="s">
        <v>1261</v>
      </c>
    </row>
    <row r="70" spans="1:5" x14ac:dyDescent="0.35">
      <c r="A70" s="1">
        <v>44287</v>
      </c>
      <c r="B70" t="s">
        <v>95</v>
      </c>
      <c r="D70" s="1">
        <v>44281</v>
      </c>
      <c r="E70" t="s">
        <v>1262</v>
      </c>
    </row>
    <row r="71" spans="1:5" x14ac:dyDescent="0.35">
      <c r="A71" s="1">
        <v>44291</v>
      </c>
      <c r="B71" t="s">
        <v>97</v>
      </c>
      <c r="D71" s="1">
        <v>44284</v>
      </c>
      <c r="E71" t="s">
        <v>1263</v>
      </c>
    </row>
    <row r="72" spans="1:5" x14ac:dyDescent="0.35">
      <c r="A72" s="1">
        <v>44292</v>
      </c>
      <c r="B72" t="s">
        <v>98</v>
      </c>
      <c r="D72" s="1">
        <v>44285</v>
      </c>
      <c r="E72" t="s">
        <v>1264</v>
      </c>
    </row>
    <row r="73" spans="1:5" x14ac:dyDescent="0.35">
      <c r="A73" s="1">
        <v>44293</v>
      </c>
      <c r="B73" t="s">
        <v>99</v>
      </c>
      <c r="D73" s="1">
        <v>44286</v>
      </c>
      <c r="E73" t="s">
        <v>1265</v>
      </c>
    </row>
    <row r="74" spans="1:5" x14ac:dyDescent="0.35">
      <c r="A74" s="1">
        <v>44294</v>
      </c>
      <c r="B74" t="s">
        <v>100</v>
      </c>
      <c r="D74" s="1">
        <v>44287</v>
      </c>
      <c r="E74" t="s">
        <v>1266</v>
      </c>
    </row>
    <row r="75" spans="1:5" x14ac:dyDescent="0.35">
      <c r="A75" s="1">
        <v>44295</v>
      </c>
      <c r="B75" t="s">
        <v>102</v>
      </c>
      <c r="D75" s="1">
        <v>44288</v>
      </c>
      <c r="E75" t="s">
        <v>1267</v>
      </c>
    </row>
    <row r="76" spans="1:5" x14ac:dyDescent="0.35">
      <c r="A76" s="1">
        <v>44298</v>
      </c>
      <c r="B76" t="s">
        <v>103</v>
      </c>
      <c r="D76" s="1">
        <v>44291</v>
      </c>
      <c r="E76" t="s">
        <v>1268</v>
      </c>
    </row>
    <row r="77" spans="1:5" x14ac:dyDescent="0.35">
      <c r="A77" s="1">
        <v>44299</v>
      </c>
      <c r="B77" t="s">
        <v>104</v>
      </c>
      <c r="D77" s="1">
        <v>44292</v>
      </c>
      <c r="E77" t="s">
        <v>1269</v>
      </c>
    </row>
    <row r="78" spans="1:5" x14ac:dyDescent="0.35">
      <c r="A78" s="1">
        <v>44300</v>
      </c>
      <c r="B78" t="s">
        <v>105</v>
      </c>
      <c r="D78" s="1">
        <v>44293</v>
      </c>
      <c r="E78" t="s">
        <v>1270</v>
      </c>
    </row>
    <row r="79" spans="1:5" x14ac:dyDescent="0.35">
      <c r="A79" s="1">
        <v>44301</v>
      </c>
      <c r="B79" t="s">
        <v>106</v>
      </c>
      <c r="D79" s="1">
        <v>44294</v>
      </c>
      <c r="E79" t="s">
        <v>1272</v>
      </c>
    </row>
    <row r="80" spans="1:5" x14ac:dyDescent="0.35">
      <c r="A80" s="1">
        <v>44302</v>
      </c>
      <c r="B80" t="s">
        <v>108</v>
      </c>
      <c r="D80" s="1">
        <v>44295</v>
      </c>
      <c r="E80" t="s">
        <v>1273</v>
      </c>
    </row>
    <row r="81" spans="1:5" x14ac:dyDescent="0.35">
      <c r="A81" s="1">
        <v>44305</v>
      </c>
      <c r="B81" t="s">
        <v>110</v>
      </c>
      <c r="D81" s="1">
        <v>44298</v>
      </c>
      <c r="E81" t="s">
        <v>1275</v>
      </c>
    </row>
    <row r="82" spans="1:5" x14ac:dyDescent="0.35">
      <c r="A82" s="1">
        <v>44306</v>
      </c>
      <c r="B82" t="s">
        <v>112</v>
      </c>
      <c r="D82" s="1">
        <v>44299</v>
      </c>
      <c r="E82" t="s">
        <v>1277</v>
      </c>
    </row>
    <row r="83" spans="1:5" x14ac:dyDescent="0.35">
      <c r="A83" s="1">
        <v>44307</v>
      </c>
      <c r="B83" t="s">
        <v>114</v>
      </c>
      <c r="D83" s="1">
        <v>44300</v>
      </c>
      <c r="E83" t="s">
        <v>1278</v>
      </c>
    </row>
    <row r="84" spans="1:5" x14ac:dyDescent="0.35">
      <c r="A84" s="1">
        <v>44308</v>
      </c>
      <c r="B84" t="s">
        <v>116</v>
      </c>
      <c r="D84" s="1">
        <v>44301</v>
      </c>
      <c r="E84" t="s">
        <v>1281</v>
      </c>
    </row>
    <row r="85" spans="1:5" x14ac:dyDescent="0.35">
      <c r="A85" s="1">
        <v>44309</v>
      </c>
      <c r="B85" t="s">
        <v>117</v>
      </c>
      <c r="D85" s="1">
        <v>44302</v>
      </c>
      <c r="E85" t="s">
        <v>1283</v>
      </c>
    </row>
    <row r="86" spans="1:5" x14ac:dyDescent="0.35">
      <c r="A86" s="1">
        <v>44312</v>
      </c>
      <c r="B86" t="s">
        <v>118</v>
      </c>
      <c r="D86" s="1">
        <v>44305</v>
      </c>
      <c r="E86" t="s">
        <v>1285</v>
      </c>
    </row>
    <row r="87" spans="1:5" x14ac:dyDescent="0.35">
      <c r="A87" s="1">
        <v>44313</v>
      </c>
      <c r="B87" t="s">
        <v>120</v>
      </c>
      <c r="D87" s="1">
        <v>44306</v>
      </c>
      <c r="E87" t="s">
        <v>1286</v>
      </c>
    </row>
    <row r="88" spans="1:5" x14ac:dyDescent="0.35">
      <c r="A88" s="1">
        <v>44314</v>
      </c>
      <c r="B88" t="s">
        <v>122</v>
      </c>
      <c r="D88" s="1">
        <v>44307</v>
      </c>
      <c r="E88" t="s">
        <v>1288</v>
      </c>
    </row>
    <row r="89" spans="1:5" x14ac:dyDescent="0.35">
      <c r="A89" s="1">
        <v>44315</v>
      </c>
      <c r="B89" t="s">
        <v>69</v>
      </c>
      <c r="D89" s="1">
        <v>44308</v>
      </c>
      <c r="E89" t="s">
        <v>1289</v>
      </c>
    </row>
    <row r="90" spans="1:5" x14ac:dyDescent="0.35">
      <c r="A90" s="1">
        <v>44316</v>
      </c>
      <c r="B90" t="s">
        <v>124</v>
      </c>
      <c r="D90" s="1">
        <v>44309</v>
      </c>
      <c r="E90" t="s">
        <v>1291</v>
      </c>
    </row>
    <row r="91" spans="1:5" x14ac:dyDescent="0.35">
      <c r="A91" s="1">
        <v>44319</v>
      </c>
      <c r="B91" t="s">
        <v>125</v>
      </c>
      <c r="D91" s="1">
        <v>44312</v>
      </c>
      <c r="E91" t="s">
        <v>1293</v>
      </c>
    </row>
    <row r="92" spans="1:5" x14ac:dyDescent="0.35">
      <c r="A92" s="1">
        <v>44320</v>
      </c>
      <c r="B92" t="s">
        <v>62</v>
      </c>
      <c r="D92" s="1">
        <v>44313</v>
      </c>
      <c r="E92" t="s">
        <v>1294</v>
      </c>
    </row>
    <row r="93" spans="1:5" x14ac:dyDescent="0.35">
      <c r="A93" s="1">
        <v>44321</v>
      </c>
      <c r="B93" t="s">
        <v>128</v>
      </c>
      <c r="D93" s="1">
        <v>44314</v>
      </c>
      <c r="E93" t="s">
        <v>1296</v>
      </c>
    </row>
    <row r="94" spans="1:5" x14ac:dyDescent="0.35">
      <c r="A94" s="1">
        <v>44322</v>
      </c>
      <c r="B94" t="s">
        <v>129</v>
      </c>
      <c r="D94" s="1">
        <v>44315</v>
      </c>
      <c r="E94" t="s">
        <v>1297</v>
      </c>
    </row>
    <row r="95" spans="1:5" x14ac:dyDescent="0.35">
      <c r="A95" s="1">
        <v>44323</v>
      </c>
      <c r="B95" t="s">
        <v>130</v>
      </c>
      <c r="D95" s="1">
        <v>44316</v>
      </c>
      <c r="E95" t="s">
        <v>1298</v>
      </c>
    </row>
    <row r="96" spans="1:5" x14ac:dyDescent="0.35">
      <c r="A96" s="1">
        <v>44326</v>
      </c>
      <c r="B96" t="s">
        <v>131</v>
      </c>
      <c r="D96" s="1">
        <v>44319</v>
      </c>
      <c r="E96" t="s">
        <v>1299</v>
      </c>
    </row>
    <row r="97" spans="1:5" x14ac:dyDescent="0.35">
      <c r="A97" s="1">
        <v>44327</v>
      </c>
      <c r="B97" t="s">
        <v>133</v>
      </c>
      <c r="D97" s="1">
        <v>44320</v>
      </c>
      <c r="E97" t="s">
        <v>1301</v>
      </c>
    </row>
    <row r="98" spans="1:5" x14ac:dyDescent="0.35">
      <c r="A98" s="1">
        <v>44328</v>
      </c>
      <c r="B98" t="s">
        <v>134</v>
      </c>
      <c r="D98" s="1">
        <v>44321</v>
      </c>
      <c r="E98" t="s">
        <v>1303</v>
      </c>
    </row>
    <row r="99" spans="1:5" x14ac:dyDescent="0.35">
      <c r="A99" s="1">
        <v>44329</v>
      </c>
      <c r="B99" t="s">
        <v>135</v>
      </c>
      <c r="D99" s="1">
        <v>44322</v>
      </c>
      <c r="E99" t="s">
        <v>1304</v>
      </c>
    </row>
    <row r="100" spans="1:5" x14ac:dyDescent="0.35">
      <c r="A100" s="1">
        <v>44330</v>
      </c>
      <c r="B100" t="s">
        <v>36</v>
      </c>
      <c r="D100" s="1">
        <v>44323</v>
      </c>
      <c r="E100" t="s">
        <v>1305</v>
      </c>
    </row>
    <row r="101" spans="1:5" x14ac:dyDescent="0.35">
      <c r="A101" s="1">
        <v>44333</v>
      </c>
      <c r="B101" t="s">
        <v>136</v>
      </c>
      <c r="D101" s="1">
        <v>44326</v>
      </c>
      <c r="E101" t="s">
        <v>1306</v>
      </c>
    </row>
    <row r="102" spans="1:5" x14ac:dyDescent="0.35">
      <c r="A102" s="1">
        <v>44334</v>
      </c>
      <c r="B102" t="s">
        <v>137</v>
      </c>
      <c r="D102" s="1">
        <v>44327</v>
      </c>
      <c r="E102" t="s">
        <v>1307</v>
      </c>
    </row>
    <row r="103" spans="1:5" x14ac:dyDescent="0.35">
      <c r="A103" s="1">
        <v>44335</v>
      </c>
      <c r="B103" t="s">
        <v>9</v>
      </c>
      <c r="D103" s="1">
        <v>44328</v>
      </c>
      <c r="E103" t="s">
        <v>1309</v>
      </c>
    </row>
    <row r="104" spans="1:5" x14ac:dyDescent="0.35">
      <c r="A104" s="1">
        <v>44336</v>
      </c>
      <c r="B104" t="s">
        <v>138</v>
      </c>
      <c r="D104" s="1">
        <v>44329</v>
      </c>
      <c r="E104" t="s">
        <v>1310</v>
      </c>
    </row>
    <row r="105" spans="1:5" x14ac:dyDescent="0.35">
      <c r="A105" s="1">
        <v>44337</v>
      </c>
      <c r="B105" t="s">
        <v>139</v>
      </c>
      <c r="D105" s="1">
        <v>44330</v>
      </c>
      <c r="E105" t="s">
        <v>1311</v>
      </c>
    </row>
    <row r="106" spans="1:5" x14ac:dyDescent="0.35">
      <c r="A106" s="1">
        <v>44340</v>
      </c>
      <c r="B106" t="s">
        <v>140</v>
      </c>
      <c r="D106" s="1">
        <v>44333</v>
      </c>
      <c r="E106" t="s">
        <v>1312</v>
      </c>
    </row>
    <row r="107" spans="1:5" x14ac:dyDescent="0.35">
      <c r="A107" s="1">
        <v>44341</v>
      </c>
      <c r="B107" t="s">
        <v>141</v>
      </c>
      <c r="D107" s="1">
        <v>44334</v>
      </c>
      <c r="E107" t="s">
        <v>1313</v>
      </c>
    </row>
    <row r="108" spans="1:5" x14ac:dyDescent="0.35">
      <c r="A108" s="1">
        <v>44342</v>
      </c>
      <c r="B108" t="s">
        <v>12</v>
      </c>
      <c r="D108" s="1">
        <v>44335</v>
      </c>
      <c r="E108" t="s">
        <v>1315</v>
      </c>
    </row>
    <row r="109" spans="1:5" x14ac:dyDescent="0.35">
      <c r="A109" s="1">
        <v>44343</v>
      </c>
      <c r="B109" t="s">
        <v>142</v>
      </c>
      <c r="D109" s="1">
        <v>44336</v>
      </c>
      <c r="E109" t="s">
        <v>1318</v>
      </c>
    </row>
    <row r="110" spans="1:5" x14ac:dyDescent="0.35">
      <c r="A110" s="1">
        <v>44344</v>
      </c>
      <c r="B110" t="s">
        <v>144</v>
      </c>
      <c r="D110" s="1">
        <v>44337</v>
      </c>
      <c r="E110" t="s">
        <v>1321</v>
      </c>
    </row>
    <row r="111" spans="1:5" x14ac:dyDescent="0.35">
      <c r="A111" s="1">
        <v>44348</v>
      </c>
      <c r="B111" t="s">
        <v>145</v>
      </c>
      <c r="D111" s="1">
        <v>44340</v>
      </c>
      <c r="E111" t="s">
        <v>1322</v>
      </c>
    </row>
    <row r="112" spans="1:5" x14ac:dyDescent="0.35">
      <c r="A112" s="1">
        <v>44349</v>
      </c>
      <c r="B112" t="s">
        <v>146</v>
      </c>
      <c r="D112" s="1">
        <v>44341</v>
      </c>
      <c r="E112" t="s">
        <v>1324</v>
      </c>
    </row>
    <row r="113" spans="1:5" x14ac:dyDescent="0.35">
      <c r="A113" s="1">
        <v>44350</v>
      </c>
      <c r="B113" t="s">
        <v>147</v>
      </c>
      <c r="D113" s="1">
        <v>44342</v>
      </c>
      <c r="E113" t="s">
        <v>1323</v>
      </c>
    </row>
    <row r="114" spans="1:5" x14ac:dyDescent="0.35">
      <c r="A114" s="1">
        <v>44351</v>
      </c>
      <c r="B114" t="s">
        <v>148</v>
      </c>
      <c r="D114" s="1">
        <v>44343</v>
      </c>
      <c r="E114" t="s">
        <v>1326</v>
      </c>
    </row>
    <row r="115" spans="1:5" x14ac:dyDescent="0.35">
      <c r="A115" s="1">
        <v>44354</v>
      </c>
      <c r="B115" t="s">
        <v>143</v>
      </c>
      <c r="D115" s="1">
        <v>44344</v>
      </c>
      <c r="E115" t="s">
        <v>1327</v>
      </c>
    </row>
    <row r="116" spans="1:5" x14ac:dyDescent="0.35">
      <c r="A116" s="1">
        <v>44355</v>
      </c>
      <c r="B116" t="s">
        <v>151</v>
      </c>
      <c r="D116" s="1">
        <v>44347</v>
      </c>
      <c r="E116" t="s">
        <v>1328</v>
      </c>
    </row>
    <row r="117" spans="1:5" x14ac:dyDescent="0.35">
      <c r="A117" s="1">
        <v>44356</v>
      </c>
      <c r="B117" t="s">
        <v>152</v>
      </c>
      <c r="D117" s="1">
        <v>44348</v>
      </c>
      <c r="E117" t="s">
        <v>1177</v>
      </c>
    </row>
    <row r="118" spans="1:5" x14ac:dyDescent="0.35">
      <c r="A118" s="1">
        <v>44357</v>
      </c>
      <c r="B118" t="s">
        <v>153</v>
      </c>
      <c r="D118" s="1">
        <v>44349</v>
      </c>
      <c r="E118" t="s">
        <v>1329</v>
      </c>
    </row>
    <row r="119" spans="1:5" x14ac:dyDescent="0.35">
      <c r="A119" s="1">
        <v>44358</v>
      </c>
      <c r="B119" t="s">
        <v>155</v>
      </c>
      <c r="D119" s="1">
        <v>44350</v>
      </c>
      <c r="E119" t="s">
        <v>1320</v>
      </c>
    </row>
    <row r="120" spans="1:5" x14ac:dyDescent="0.35">
      <c r="A120" s="1">
        <v>44361</v>
      </c>
      <c r="B120" t="s">
        <v>156</v>
      </c>
      <c r="D120" s="1">
        <v>44351</v>
      </c>
      <c r="E120" t="s">
        <v>1330</v>
      </c>
    </row>
    <row r="121" spans="1:5" x14ac:dyDescent="0.35">
      <c r="A121" s="1">
        <v>44362</v>
      </c>
      <c r="B121" t="s">
        <v>158</v>
      </c>
      <c r="D121" s="1">
        <v>44354</v>
      </c>
      <c r="E121" t="s">
        <v>1213</v>
      </c>
    </row>
    <row r="122" spans="1:5" x14ac:dyDescent="0.35">
      <c r="A122" s="1">
        <v>44363</v>
      </c>
      <c r="B122" t="s">
        <v>159</v>
      </c>
      <c r="D122" s="1">
        <v>44355</v>
      </c>
      <c r="E122" t="s">
        <v>1208</v>
      </c>
    </row>
    <row r="123" spans="1:5" x14ac:dyDescent="0.35">
      <c r="A123" s="1">
        <v>44364</v>
      </c>
      <c r="B123" t="s">
        <v>160</v>
      </c>
      <c r="D123" s="1">
        <v>44356</v>
      </c>
      <c r="E123" t="s">
        <v>1317</v>
      </c>
    </row>
    <row r="124" spans="1:5" x14ac:dyDescent="0.35">
      <c r="A124" s="1">
        <v>44365</v>
      </c>
      <c r="B124" t="s">
        <v>107</v>
      </c>
      <c r="D124" s="1">
        <v>44357</v>
      </c>
      <c r="E124" t="s">
        <v>1323</v>
      </c>
    </row>
    <row r="125" spans="1:5" x14ac:dyDescent="0.35">
      <c r="A125" s="1">
        <v>44368</v>
      </c>
      <c r="B125" t="s">
        <v>162</v>
      </c>
      <c r="D125" s="1">
        <v>44358</v>
      </c>
      <c r="E125" t="s">
        <v>1333</v>
      </c>
    </row>
    <row r="126" spans="1:5" x14ac:dyDescent="0.35">
      <c r="A126" s="1">
        <v>44369</v>
      </c>
      <c r="B126" t="s">
        <v>163</v>
      </c>
      <c r="D126" s="1">
        <v>44361</v>
      </c>
      <c r="E126" t="s">
        <v>1334</v>
      </c>
    </row>
    <row r="127" spans="1:5" x14ac:dyDescent="0.35">
      <c r="A127" s="1">
        <v>44370</v>
      </c>
      <c r="B127" t="s">
        <v>167</v>
      </c>
      <c r="D127" s="1">
        <v>44362</v>
      </c>
      <c r="E127" t="s">
        <v>1213</v>
      </c>
    </row>
    <row r="128" spans="1:5" x14ac:dyDescent="0.35">
      <c r="A128" s="1">
        <v>44371</v>
      </c>
      <c r="B128" t="s">
        <v>168</v>
      </c>
      <c r="D128" s="1">
        <v>44363</v>
      </c>
      <c r="E128" t="s">
        <v>1336</v>
      </c>
    </row>
    <row r="129" spans="1:5" x14ac:dyDescent="0.35">
      <c r="A129" s="1">
        <v>44372</v>
      </c>
      <c r="B129" t="s">
        <v>169</v>
      </c>
      <c r="D129" s="1">
        <v>44364</v>
      </c>
      <c r="E129" t="s">
        <v>1337</v>
      </c>
    </row>
    <row r="130" spans="1:5" x14ac:dyDescent="0.35">
      <c r="A130" s="1">
        <v>44375</v>
      </c>
      <c r="B130" t="s">
        <v>171</v>
      </c>
      <c r="D130" s="1">
        <v>44365</v>
      </c>
      <c r="E130" t="s">
        <v>1338</v>
      </c>
    </row>
    <row r="131" spans="1:5" x14ac:dyDescent="0.35">
      <c r="A131" s="1">
        <v>44376</v>
      </c>
      <c r="B131" t="s">
        <v>172</v>
      </c>
      <c r="D131" s="1">
        <v>44368</v>
      </c>
      <c r="E131" t="s">
        <v>1339</v>
      </c>
    </row>
    <row r="132" spans="1:5" x14ac:dyDescent="0.35">
      <c r="A132" s="1">
        <v>44377</v>
      </c>
      <c r="B132" t="s">
        <v>119</v>
      </c>
      <c r="D132" s="1">
        <v>44369</v>
      </c>
      <c r="E132" t="s">
        <v>1340</v>
      </c>
    </row>
    <row r="133" spans="1:5" x14ac:dyDescent="0.35">
      <c r="A133" s="1">
        <v>44378</v>
      </c>
      <c r="B133" t="s">
        <v>165</v>
      </c>
      <c r="D133" s="1">
        <v>44370</v>
      </c>
      <c r="E133" t="s">
        <v>1341</v>
      </c>
    </row>
    <row r="134" spans="1:5" x14ac:dyDescent="0.35">
      <c r="A134" s="1">
        <v>44379</v>
      </c>
      <c r="B134" t="s">
        <v>173</v>
      </c>
      <c r="D134" s="1">
        <v>44371</v>
      </c>
      <c r="E134" t="s">
        <v>1343</v>
      </c>
    </row>
    <row r="135" spans="1:5" x14ac:dyDescent="0.35">
      <c r="A135" s="1">
        <v>44383</v>
      </c>
      <c r="B135" t="s">
        <v>175</v>
      </c>
      <c r="D135" s="1">
        <v>44372</v>
      </c>
      <c r="E135" t="s">
        <v>1345</v>
      </c>
    </row>
    <row r="136" spans="1:5" x14ac:dyDescent="0.35">
      <c r="A136" s="1">
        <v>44384</v>
      </c>
      <c r="B136" t="s">
        <v>67</v>
      </c>
      <c r="D136" s="1">
        <v>44375</v>
      </c>
      <c r="E136" t="s">
        <v>1346</v>
      </c>
    </row>
    <row r="137" spans="1:5" x14ac:dyDescent="0.35">
      <c r="A137" s="1">
        <v>44385</v>
      </c>
      <c r="B137" t="s">
        <v>177</v>
      </c>
      <c r="D137" s="1">
        <v>44376</v>
      </c>
      <c r="E137" t="s">
        <v>1347</v>
      </c>
    </row>
    <row r="138" spans="1:5" x14ac:dyDescent="0.35">
      <c r="A138" s="1">
        <v>44386</v>
      </c>
      <c r="B138" t="s">
        <v>180</v>
      </c>
      <c r="D138" s="1">
        <v>44377</v>
      </c>
      <c r="E138" t="s">
        <v>1349</v>
      </c>
    </row>
    <row r="139" spans="1:5" x14ac:dyDescent="0.35">
      <c r="A139" s="1">
        <v>44389</v>
      </c>
      <c r="B139" t="s">
        <v>182</v>
      </c>
      <c r="D139" s="1">
        <v>44378</v>
      </c>
      <c r="E139" t="s">
        <v>1253</v>
      </c>
    </row>
    <row r="140" spans="1:5" x14ac:dyDescent="0.35">
      <c r="A140" s="1">
        <v>44390</v>
      </c>
      <c r="B140" t="s">
        <v>184</v>
      </c>
      <c r="D140" s="1">
        <v>44379</v>
      </c>
      <c r="E140" t="s">
        <v>1351</v>
      </c>
    </row>
    <row r="141" spans="1:5" x14ac:dyDescent="0.35">
      <c r="A141" s="1">
        <v>44391</v>
      </c>
      <c r="B141" t="s">
        <v>186</v>
      </c>
      <c r="D141" s="1">
        <v>44382</v>
      </c>
      <c r="E141" t="s">
        <v>1352</v>
      </c>
    </row>
    <row r="142" spans="1:5" x14ac:dyDescent="0.35">
      <c r="A142" s="1">
        <v>44392</v>
      </c>
      <c r="B142" t="s">
        <v>188</v>
      </c>
      <c r="D142" s="1">
        <v>44383</v>
      </c>
      <c r="E142" t="s">
        <v>1277</v>
      </c>
    </row>
    <row r="143" spans="1:5" x14ac:dyDescent="0.35">
      <c r="A143" s="1">
        <v>44393</v>
      </c>
      <c r="B143" t="s">
        <v>190</v>
      </c>
      <c r="D143" s="1">
        <v>44384</v>
      </c>
      <c r="E143" t="s">
        <v>1353</v>
      </c>
    </row>
    <row r="144" spans="1:5" x14ac:dyDescent="0.35">
      <c r="A144" s="1">
        <v>44396</v>
      </c>
      <c r="B144" t="s">
        <v>191</v>
      </c>
      <c r="D144" s="1">
        <v>44385</v>
      </c>
      <c r="E144" t="s">
        <v>1276</v>
      </c>
    </row>
    <row r="145" spans="1:5" x14ac:dyDescent="0.35">
      <c r="A145" s="1">
        <v>44397</v>
      </c>
      <c r="B145" t="s">
        <v>45</v>
      </c>
      <c r="D145" s="1">
        <v>44386</v>
      </c>
      <c r="E145" t="s">
        <v>1354</v>
      </c>
    </row>
    <row r="146" spans="1:5" x14ac:dyDescent="0.35">
      <c r="A146" s="1">
        <v>44398</v>
      </c>
      <c r="B146" t="s">
        <v>192</v>
      </c>
      <c r="D146" s="1">
        <v>44389</v>
      </c>
      <c r="E146" t="s">
        <v>1296</v>
      </c>
    </row>
    <row r="147" spans="1:5" x14ac:dyDescent="0.35">
      <c r="A147" s="1">
        <v>44399</v>
      </c>
      <c r="B147" t="s">
        <v>193</v>
      </c>
      <c r="D147" s="1">
        <v>44390</v>
      </c>
      <c r="E147" t="s">
        <v>1356</v>
      </c>
    </row>
    <row r="148" spans="1:5" x14ac:dyDescent="0.35">
      <c r="A148" s="1">
        <v>44400</v>
      </c>
      <c r="B148" t="s">
        <v>194</v>
      </c>
      <c r="D148" s="1">
        <v>44391</v>
      </c>
      <c r="E148" t="s">
        <v>1290</v>
      </c>
    </row>
    <row r="149" spans="1:5" x14ac:dyDescent="0.35">
      <c r="A149" s="1">
        <v>44403</v>
      </c>
      <c r="B149" t="s">
        <v>176</v>
      </c>
      <c r="D149" s="1">
        <v>44392</v>
      </c>
      <c r="E149" t="s">
        <v>1357</v>
      </c>
    </row>
    <row r="150" spans="1:5" x14ac:dyDescent="0.35">
      <c r="A150" s="1">
        <v>44404</v>
      </c>
      <c r="B150" t="s">
        <v>183</v>
      </c>
      <c r="D150" s="1">
        <v>44393</v>
      </c>
      <c r="E150" t="s">
        <v>1358</v>
      </c>
    </row>
    <row r="151" spans="1:5" x14ac:dyDescent="0.35">
      <c r="A151" s="1">
        <v>44405</v>
      </c>
      <c r="B151" t="s">
        <v>183</v>
      </c>
      <c r="D151" s="1">
        <v>44396</v>
      </c>
      <c r="E151" t="s">
        <v>1359</v>
      </c>
    </row>
    <row r="152" spans="1:5" x14ac:dyDescent="0.35">
      <c r="A152" s="1">
        <v>44406</v>
      </c>
      <c r="B152" t="s">
        <v>195</v>
      </c>
      <c r="D152" s="1">
        <v>44397</v>
      </c>
      <c r="E152" t="s">
        <v>1361</v>
      </c>
    </row>
    <row r="153" spans="1:5" x14ac:dyDescent="0.35">
      <c r="A153" s="1">
        <v>44407</v>
      </c>
      <c r="B153" t="s">
        <v>197</v>
      </c>
      <c r="D153" s="1">
        <v>44398</v>
      </c>
      <c r="E153" t="s">
        <v>1362</v>
      </c>
    </row>
    <row r="154" spans="1:5" x14ac:dyDescent="0.35">
      <c r="A154" s="1">
        <v>44410</v>
      </c>
      <c r="B154" t="s">
        <v>199</v>
      </c>
      <c r="D154" s="1">
        <v>44399</v>
      </c>
      <c r="E154" t="s">
        <v>1363</v>
      </c>
    </row>
    <row r="155" spans="1:5" x14ac:dyDescent="0.35">
      <c r="A155" s="1">
        <v>44411</v>
      </c>
      <c r="B155" t="s">
        <v>181</v>
      </c>
      <c r="D155" s="1">
        <v>44400</v>
      </c>
      <c r="E155" t="s">
        <v>1365</v>
      </c>
    </row>
    <row r="156" spans="1:5" x14ac:dyDescent="0.35">
      <c r="A156" s="1">
        <v>44412</v>
      </c>
      <c r="B156" t="s">
        <v>202</v>
      </c>
      <c r="D156" s="1">
        <v>44403</v>
      </c>
      <c r="E156" t="s">
        <v>1367</v>
      </c>
    </row>
    <row r="157" spans="1:5" x14ac:dyDescent="0.35">
      <c r="A157" s="1">
        <v>44413</v>
      </c>
      <c r="B157" t="s">
        <v>203</v>
      </c>
      <c r="D157" s="1">
        <v>44404</v>
      </c>
      <c r="E157" t="s">
        <v>1369</v>
      </c>
    </row>
    <row r="158" spans="1:5" x14ac:dyDescent="0.35">
      <c r="A158" s="1">
        <v>44414</v>
      </c>
      <c r="B158" t="s">
        <v>205</v>
      </c>
      <c r="D158" s="1">
        <v>44405</v>
      </c>
      <c r="E158" t="s">
        <v>1371</v>
      </c>
    </row>
    <row r="159" spans="1:5" x14ac:dyDescent="0.35">
      <c r="A159" s="1">
        <v>44417</v>
      </c>
      <c r="B159" t="s">
        <v>206</v>
      </c>
      <c r="D159" s="1">
        <v>44406</v>
      </c>
      <c r="E159" t="s">
        <v>1373</v>
      </c>
    </row>
    <row r="160" spans="1:5" x14ac:dyDescent="0.35">
      <c r="A160" s="1">
        <v>44418</v>
      </c>
      <c r="B160" t="s">
        <v>96</v>
      </c>
      <c r="D160" s="1">
        <v>44407</v>
      </c>
      <c r="E160" t="s">
        <v>1374</v>
      </c>
    </row>
    <row r="161" spans="1:5" x14ac:dyDescent="0.35">
      <c r="A161" s="1">
        <v>44419</v>
      </c>
      <c r="B161" t="s">
        <v>207</v>
      </c>
      <c r="D161" s="1">
        <v>44410</v>
      </c>
      <c r="E161" t="s">
        <v>1376</v>
      </c>
    </row>
    <row r="162" spans="1:5" x14ac:dyDescent="0.35">
      <c r="A162" s="1">
        <v>44420</v>
      </c>
      <c r="B162" t="s">
        <v>208</v>
      </c>
      <c r="D162" s="1">
        <v>44411</v>
      </c>
      <c r="E162" t="s">
        <v>1377</v>
      </c>
    </row>
    <row r="163" spans="1:5" x14ac:dyDescent="0.35">
      <c r="A163" s="1">
        <v>44421</v>
      </c>
      <c r="B163" t="s">
        <v>170</v>
      </c>
      <c r="D163" s="1">
        <v>44412</v>
      </c>
      <c r="E163" t="s">
        <v>1375</v>
      </c>
    </row>
    <row r="164" spans="1:5" x14ac:dyDescent="0.35">
      <c r="A164" s="1">
        <v>44424</v>
      </c>
      <c r="B164" t="s">
        <v>164</v>
      </c>
      <c r="D164" s="1">
        <v>44413</v>
      </c>
      <c r="E164" t="s">
        <v>1380</v>
      </c>
    </row>
    <row r="165" spans="1:5" x14ac:dyDescent="0.35">
      <c r="A165" s="1">
        <v>44425</v>
      </c>
      <c r="B165" t="s">
        <v>211</v>
      </c>
      <c r="D165" s="1">
        <v>44414</v>
      </c>
      <c r="E165" t="s">
        <v>1381</v>
      </c>
    </row>
    <row r="166" spans="1:5" x14ac:dyDescent="0.35">
      <c r="A166" s="1">
        <v>44426</v>
      </c>
      <c r="B166" t="s">
        <v>213</v>
      </c>
      <c r="D166" s="1">
        <v>44417</v>
      </c>
      <c r="E166" t="s">
        <v>1382</v>
      </c>
    </row>
    <row r="167" spans="1:5" x14ac:dyDescent="0.35">
      <c r="A167" s="1">
        <v>44427</v>
      </c>
      <c r="B167" t="s">
        <v>214</v>
      </c>
      <c r="D167" s="1">
        <v>44418</v>
      </c>
      <c r="E167" t="s">
        <v>1384</v>
      </c>
    </row>
    <row r="168" spans="1:5" x14ac:dyDescent="0.35">
      <c r="A168" s="1">
        <v>44428</v>
      </c>
      <c r="B168" t="s">
        <v>123</v>
      </c>
      <c r="D168" s="1">
        <v>44419</v>
      </c>
      <c r="E168" t="s">
        <v>1385</v>
      </c>
    </row>
    <row r="169" spans="1:5" x14ac:dyDescent="0.35">
      <c r="A169" s="1">
        <v>44431</v>
      </c>
      <c r="B169" t="s">
        <v>215</v>
      </c>
      <c r="D169" s="1">
        <v>44420</v>
      </c>
      <c r="E169" t="s">
        <v>1386</v>
      </c>
    </row>
    <row r="170" spans="1:5" x14ac:dyDescent="0.35">
      <c r="A170" s="1">
        <v>44432</v>
      </c>
      <c r="B170" t="s">
        <v>216</v>
      </c>
      <c r="D170" s="1">
        <v>44421</v>
      </c>
      <c r="E170" t="s">
        <v>1388</v>
      </c>
    </row>
    <row r="171" spans="1:5" x14ac:dyDescent="0.35">
      <c r="A171" s="1">
        <v>44433</v>
      </c>
      <c r="B171" t="s">
        <v>127</v>
      </c>
      <c r="D171" s="1">
        <v>44424</v>
      </c>
      <c r="E171" t="s">
        <v>1342</v>
      </c>
    </row>
    <row r="172" spans="1:5" x14ac:dyDescent="0.35">
      <c r="A172" s="1">
        <v>44434</v>
      </c>
      <c r="B172" t="s">
        <v>218</v>
      </c>
      <c r="D172" s="1">
        <v>44425</v>
      </c>
      <c r="E172" t="s">
        <v>1389</v>
      </c>
    </row>
    <row r="173" spans="1:5" x14ac:dyDescent="0.35">
      <c r="A173" s="1">
        <v>44435</v>
      </c>
      <c r="B173" t="s">
        <v>219</v>
      </c>
      <c r="D173" s="1">
        <v>44426</v>
      </c>
      <c r="E173" t="s">
        <v>1391</v>
      </c>
    </row>
    <row r="174" spans="1:5" x14ac:dyDescent="0.35">
      <c r="A174" s="1">
        <v>44438</v>
      </c>
      <c r="B174" t="s">
        <v>48</v>
      </c>
      <c r="D174" s="1">
        <v>44427</v>
      </c>
      <c r="E174" t="s">
        <v>1394</v>
      </c>
    </row>
    <row r="175" spans="1:5" x14ac:dyDescent="0.35">
      <c r="A175" s="1">
        <v>44439</v>
      </c>
      <c r="B175" t="s">
        <v>221</v>
      </c>
      <c r="D175" s="1">
        <v>44428</v>
      </c>
      <c r="E175" t="s">
        <v>1396</v>
      </c>
    </row>
    <row r="176" spans="1:5" x14ac:dyDescent="0.35">
      <c r="A176" s="1">
        <v>44440</v>
      </c>
      <c r="B176" t="s">
        <v>187</v>
      </c>
      <c r="D176" s="1">
        <v>44431</v>
      </c>
      <c r="E176" t="s">
        <v>1398</v>
      </c>
    </row>
    <row r="177" spans="1:5" x14ac:dyDescent="0.35">
      <c r="A177" s="1">
        <v>44441</v>
      </c>
      <c r="B177" t="s">
        <v>191</v>
      </c>
      <c r="D177" s="1">
        <v>44432</v>
      </c>
      <c r="E177" t="s">
        <v>1399</v>
      </c>
    </row>
    <row r="178" spans="1:5" x14ac:dyDescent="0.35">
      <c r="A178" s="1">
        <v>44442</v>
      </c>
      <c r="B178" t="s">
        <v>226</v>
      </c>
      <c r="D178" s="1">
        <v>44433</v>
      </c>
      <c r="E178" t="s">
        <v>1400</v>
      </c>
    </row>
    <row r="179" spans="1:5" x14ac:dyDescent="0.35">
      <c r="A179" s="1">
        <v>44446</v>
      </c>
      <c r="B179" t="s">
        <v>227</v>
      </c>
      <c r="D179" s="1">
        <v>44434</v>
      </c>
      <c r="E179" t="s">
        <v>1401</v>
      </c>
    </row>
    <row r="180" spans="1:5" x14ac:dyDescent="0.35">
      <c r="A180" s="1">
        <v>44447</v>
      </c>
      <c r="B180" t="s">
        <v>230</v>
      </c>
      <c r="D180" s="1">
        <v>44435</v>
      </c>
      <c r="E180" t="s">
        <v>1402</v>
      </c>
    </row>
    <row r="181" spans="1:5" x14ac:dyDescent="0.35">
      <c r="A181" s="1">
        <v>44448</v>
      </c>
      <c r="B181" t="s">
        <v>231</v>
      </c>
      <c r="D181" s="1">
        <v>44438</v>
      </c>
      <c r="E181" t="s">
        <v>1302</v>
      </c>
    </row>
    <row r="182" spans="1:5" x14ac:dyDescent="0.35">
      <c r="A182" s="1">
        <v>44449</v>
      </c>
      <c r="B182" t="s">
        <v>232</v>
      </c>
      <c r="D182" s="1">
        <v>44439</v>
      </c>
      <c r="E182" t="s">
        <v>1403</v>
      </c>
    </row>
    <row r="183" spans="1:5" x14ac:dyDescent="0.35">
      <c r="A183" s="1">
        <v>44452</v>
      </c>
      <c r="B183" t="s">
        <v>217</v>
      </c>
      <c r="D183" s="1">
        <v>44440</v>
      </c>
      <c r="E183" t="s">
        <v>1368</v>
      </c>
    </row>
    <row r="184" spans="1:5" x14ac:dyDescent="0.35">
      <c r="A184" s="1">
        <v>44453</v>
      </c>
      <c r="B184" t="s">
        <v>233</v>
      </c>
      <c r="D184" s="1">
        <v>44441</v>
      </c>
      <c r="E184" t="s">
        <v>1404</v>
      </c>
    </row>
    <row r="185" spans="1:5" x14ac:dyDescent="0.35">
      <c r="A185" s="1">
        <v>44454</v>
      </c>
      <c r="B185" t="s">
        <v>161</v>
      </c>
      <c r="D185" s="1">
        <v>44442</v>
      </c>
      <c r="E185" t="s">
        <v>1405</v>
      </c>
    </row>
    <row r="186" spans="1:5" x14ac:dyDescent="0.35">
      <c r="A186" s="1">
        <v>44455</v>
      </c>
      <c r="B186" t="s">
        <v>234</v>
      </c>
      <c r="D186" s="1">
        <v>44445</v>
      </c>
      <c r="E186" t="s">
        <v>1407</v>
      </c>
    </row>
    <row r="187" spans="1:5" x14ac:dyDescent="0.35">
      <c r="A187" s="1">
        <v>44456</v>
      </c>
      <c r="B187" t="s">
        <v>235</v>
      </c>
      <c r="D187" s="1">
        <v>44446</v>
      </c>
      <c r="E187" t="s">
        <v>1393</v>
      </c>
    </row>
    <row r="188" spans="1:5" x14ac:dyDescent="0.35">
      <c r="A188" s="1">
        <v>44459</v>
      </c>
      <c r="B188" t="s">
        <v>236</v>
      </c>
      <c r="D188" s="1">
        <v>44447</v>
      </c>
      <c r="E188" t="s">
        <v>1409</v>
      </c>
    </row>
    <row r="189" spans="1:5" x14ac:dyDescent="0.35">
      <c r="A189" s="1">
        <v>44460</v>
      </c>
      <c r="B189" t="s">
        <v>237</v>
      </c>
      <c r="D189" s="1">
        <v>44448</v>
      </c>
      <c r="E189" t="s">
        <v>1410</v>
      </c>
    </row>
    <row r="190" spans="1:5" x14ac:dyDescent="0.35">
      <c r="A190" s="1">
        <v>44461</v>
      </c>
      <c r="B190" t="s">
        <v>238</v>
      </c>
      <c r="D190" s="1">
        <v>44449</v>
      </c>
      <c r="E190" t="s">
        <v>1412</v>
      </c>
    </row>
    <row r="191" spans="1:5" x14ac:dyDescent="0.35">
      <c r="A191" s="1">
        <v>44462</v>
      </c>
      <c r="B191" t="s">
        <v>239</v>
      </c>
      <c r="D191" s="1">
        <v>44452</v>
      </c>
      <c r="E191" t="s">
        <v>1413</v>
      </c>
    </row>
    <row r="192" spans="1:5" x14ac:dyDescent="0.35">
      <c r="A192" s="1">
        <v>44463</v>
      </c>
      <c r="B192" t="s">
        <v>209</v>
      </c>
      <c r="D192" s="1">
        <v>44453</v>
      </c>
      <c r="E192" t="s">
        <v>1414</v>
      </c>
    </row>
    <row r="193" spans="1:5" x14ac:dyDescent="0.35">
      <c r="A193" s="1">
        <v>44466</v>
      </c>
      <c r="B193" t="s">
        <v>240</v>
      </c>
      <c r="D193" s="1">
        <v>44454</v>
      </c>
      <c r="E193" t="s">
        <v>1415</v>
      </c>
    </row>
    <row r="194" spans="1:5" x14ac:dyDescent="0.35">
      <c r="A194" s="1">
        <v>44467</v>
      </c>
      <c r="B194" t="s">
        <v>241</v>
      </c>
      <c r="D194" s="1">
        <v>44455</v>
      </c>
      <c r="E194" t="s">
        <v>1416</v>
      </c>
    </row>
    <row r="195" spans="1:5" x14ac:dyDescent="0.35">
      <c r="A195" s="1">
        <v>44468</v>
      </c>
      <c r="B195" t="s">
        <v>78</v>
      </c>
      <c r="D195" s="1">
        <v>44456</v>
      </c>
      <c r="E195" t="s">
        <v>1417</v>
      </c>
    </row>
    <row r="196" spans="1:5" x14ac:dyDescent="0.35">
      <c r="A196" s="1">
        <v>44469</v>
      </c>
      <c r="B196" t="s">
        <v>242</v>
      </c>
      <c r="D196" s="1">
        <v>44459</v>
      </c>
      <c r="E196" t="s">
        <v>1418</v>
      </c>
    </row>
    <row r="197" spans="1:5" x14ac:dyDescent="0.35">
      <c r="A197" s="1">
        <v>44470</v>
      </c>
      <c r="B197" t="s">
        <v>244</v>
      </c>
      <c r="D197" s="1">
        <v>44460</v>
      </c>
      <c r="E197" t="s">
        <v>1420</v>
      </c>
    </row>
    <row r="198" spans="1:5" x14ac:dyDescent="0.35">
      <c r="A198" s="1">
        <v>44473</v>
      </c>
      <c r="B198" t="s">
        <v>246</v>
      </c>
      <c r="D198" s="1">
        <v>44461</v>
      </c>
      <c r="E198" t="s">
        <v>1421</v>
      </c>
    </row>
    <row r="199" spans="1:5" x14ac:dyDescent="0.35">
      <c r="A199" s="1">
        <v>44474</v>
      </c>
      <c r="B199" t="s">
        <v>247</v>
      </c>
      <c r="D199" s="1">
        <v>44462</v>
      </c>
      <c r="E199" t="s">
        <v>1422</v>
      </c>
    </row>
    <row r="200" spans="1:5" x14ac:dyDescent="0.35">
      <c r="A200" s="1">
        <v>44475</v>
      </c>
      <c r="B200" t="s">
        <v>248</v>
      </c>
      <c r="D200" s="1">
        <v>44463</v>
      </c>
      <c r="E200" t="s">
        <v>1248</v>
      </c>
    </row>
    <row r="201" spans="1:5" x14ac:dyDescent="0.35">
      <c r="A201" s="1">
        <v>44476</v>
      </c>
      <c r="B201" t="s">
        <v>250</v>
      </c>
      <c r="D201" s="1">
        <v>44466</v>
      </c>
      <c r="E201" t="s">
        <v>1424</v>
      </c>
    </row>
    <row r="202" spans="1:5" x14ac:dyDescent="0.35">
      <c r="A202" s="1">
        <v>44477</v>
      </c>
      <c r="B202" t="s">
        <v>251</v>
      </c>
      <c r="D202" s="1">
        <v>44467</v>
      </c>
      <c r="E202" t="s">
        <v>1426</v>
      </c>
    </row>
    <row r="203" spans="1:5" x14ac:dyDescent="0.35">
      <c r="A203" s="1">
        <v>44480</v>
      </c>
      <c r="B203" t="s">
        <v>234</v>
      </c>
      <c r="D203" s="1">
        <v>44468</v>
      </c>
      <c r="E203" t="s">
        <v>1427</v>
      </c>
    </row>
    <row r="204" spans="1:5" x14ac:dyDescent="0.35">
      <c r="A204" s="1">
        <v>44481</v>
      </c>
      <c r="B204" t="s">
        <v>210</v>
      </c>
      <c r="D204" s="1">
        <v>44469</v>
      </c>
      <c r="E204" t="s">
        <v>1428</v>
      </c>
    </row>
    <row r="205" spans="1:5" x14ac:dyDescent="0.35">
      <c r="A205" s="1">
        <v>44482</v>
      </c>
      <c r="B205" t="s">
        <v>253</v>
      </c>
      <c r="D205" s="1">
        <v>44470</v>
      </c>
      <c r="E205" t="s">
        <v>1429</v>
      </c>
    </row>
    <row r="206" spans="1:5" x14ac:dyDescent="0.35">
      <c r="A206" s="1">
        <v>44483</v>
      </c>
      <c r="B206" t="s">
        <v>255</v>
      </c>
      <c r="D206" s="1">
        <v>44473</v>
      </c>
      <c r="E206" t="s">
        <v>1431</v>
      </c>
    </row>
    <row r="207" spans="1:5" x14ac:dyDescent="0.35">
      <c r="A207" s="1">
        <v>44484</v>
      </c>
      <c r="B207" t="s">
        <v>256</v>
      </c>
      <c r="D207" s="1">
        <v>44474</v>
      </c>
      <c r="E207" t="s">
        <v>1432</v>
      </c>
    </row>
    <row r="208" spans="1:5" x14ac:dyDescent="0.35">
      <c r="A208" s="1">
        <v>44487</v>
      </c>
      <c r="B208" t="s">
        <v>257</v>
      </c>
      <c r="D208" s="1">
        <v>44475</v>
      </c>
      <c r="E208" t="s">
        <v>1433</v>
      </c>
    </row>
    <row r="209" spans="1:5" x14ac:dyDescent="0.35">
      <c r="A209" s="1">
        <v>44488</v>
      </c>
      <c r="B209" t="s">
        <v>258</v>
      </c>
      <c r="D209" s="1">
        <v>44476</v>
      </c>
      <c r="E209" t="s">
        <v>1434</v>
      </c>
    </row>
    <row r="210" spans="1:5" x14ac:dyDescent="0.35">
      <c r="A210" s="1">
        <v>44489</v>
      </c>
      <c r="B210" t="s">
        <v>128</v>
      </c>
      <c r="D210" s="1">
        <v>44477</v>
      </c>
      <c r="E210" t="s">
        <v>1433</v>
      </c>
    </row>
    <row r="211" spans="1:5" x14ac:dyDescent="0.35">
      <c r="A211" s="1">
        <v>44490</v>
      </c>
      <c r="B211" t="s">
        <v>116</v>
      </c>
      <c r="D211" s="1">
        <v>44480</v>
      </c>
      <c r="E211" t="s">
        <v>1435</v>
      </c>
    </row>
    <row r="212" spans="1:5" x14ac:dyDescent="0.35">
      <c r="A212" s="1">
        <v>44491</v>
      </c>
      <c r="B212" t="s">
        <v>260</v>
      </c>
      <c r="D212" s="1">
        <v>44481</v>
      </c>
      <c r="E212" t="s">
        <v>1436</v>
      </c>
    </row>
    <row r="213" spans="1:5" x14ac:dyDescent="0.35">
      <c r="A213" s="1">
        <v>44494</v>
      </c>
      <c r="B213" t="s">
        <v>200</v>
      </c>
      <c r="D213" s="1">
        <v>44482</v>
      </c>
      <c r="E213" t="s">
        <v>1438</v>
      </c>
    </row>
    <row r="214" spans="1:5" x14ac:dyDescent="0.35">
      <c r="A214" s="1">
        <v>44495</v>
      </c>
      <c r="B214" t="s">
        <v>229</v>
      </c>
      <c r="D214" s="1">
        <v>44483</v>
      </c>
      <c r="E214" t="s">
        <v>1439</v>
      </c>
    </row>
    <row r="215" spans="1:5" x14ac:dyDescent="0.35">
      <c r="A215" s="1">
        <v>44496</v>
      </c>
      <c r="B215" t="s">
        <v>263</v>
      </c>
      <c r="D215" s="1">
        <v>44484</v>
      </c>
      <c r="E215" t="s">
        <v>1440</v>
      </c>
    </row>
    <row r="216" spans="1:5" x14ac:dyDescent="0.35">
      <c r="A216" s="1">
        <v>44497</v>
      </c>
      <c r="B216" t="s">
        <v>265</v>
      </c>
      <c r="D216" s="1">
        <v>44487</v>
      </c>
      <c r="E216" t="s">
        <v>1441</v>
      </c>
    </row>
    <row r="217" spans="1:5" x14ac:dyDescent="0.35">
      <c r="A217" s="1">
        <v>44498</v>
      </c>
      <c r="B217" t="s">
        <v>115</v>
      </c>
      <c r="D217" s="1">
        <v>44488</v>
      </c>
      <c r="E217" t="s">
        <v>1442</v>
      </c>
    </row>
    <row r="218" spans="1:5" x14ac:dyDescent="0.35">
      <c r="A218" s="1">
        <v>44501</v>
      </c>
      <c r="B218" t="s">
        <v>266</v>
      </c>
      <c r="D218" s="1">
        <v>44489</v>
      </c>
      <c r="E218" t="s">
        <v>1443</v>
      </c>
    </row>
    <row r="219" spans="1:5" x14ac:dyDescent="0.35">
      <c r="A219" s="1">
        <v>44502</v>
      </c>
      <c r="B219" t="s">
        <v>267</v>
      </c>
      <c r="D219" s="1">
        <v>44490</v>
      </c>
      <c r="E219" t="s">
        <v>1290</v>
      </c>
    </row>
    <row r="220" spans="1:5" x14ac:dyDescent="0.35">
      <c r="A220" s="1">
        <v>44503</v>
      </c>
      <c r="B220" t="s">
        <v>268</v>
      </c>
      <c r="D220" s="1">
        <v>44491</v>
      </c>
      <c r="E220" t="s">
        <v>1343</v>
      </c>
    </row>
    <row r="221" spans="1:5" x14ac:dyDescent="0.35">
      <c r="A221" s="1">
        <v>44504</v>
      </c>
      <c r="B221" t="s">
        <v>126</v>
      </c>
      <c r="D221" s="1">
        <v>44494</v>
      </c>
      <c r="E221" t="s">
        <v>1444</v>
      </c>
    </row>
    <row r="222" spans="1:5" x14ac:dyDescent="0.35">
      <c r="A222" s="1">
        <v>44505</v>
      </c>
      <c r="B222" t="s">
        <v>269</v>
      </c>
      <c r="D222" s="1">
        <v>44495</v>
      </c>
      <c r="E222" t="s">
        <v>1445</v>
      </c>
    </row>
    <row r="223" spans="1:5" x14ac:dyDescent="0.35">
      <c r="A223" s="1">
        <v>44508</v>
      </c>
      <c r="B223" t="s">
        <v>270</v>
      </c>
      <c r="D223" s="1">
        <v>44496</v>
      </c>
      <c r="E223" t="s">
        <v>1446</v>
      </c>
    </row>
    <row r="224" spans="1:5" x14ac:dyDescent="0.35">
      <c r="A224" s="1">
        <v>44509</v>
      </c>
      <c r="B224" t="s">
        <v>272</v>
      </c>
      <c r="D224" s="1">
        <v>44497</v>
      </c>
      <c r="E224" t="s">
        <v>1344</v>
      </c>
    </row>
    <row r="225" spans="1:5" x14ac:dyDescent="0.35">
      <c r="A225" s="1">
        <v>44510</v>
      </c>
      <c r="B225" t="s">
        <v>273</v>
      </c>
      <c r="D225" s="1">
        <v>44498</v>
      </c>
      <c r="E225" t="s">
        <v>1301</v>
      </c>
    </row>
    <row r="226" spans="1:5" x14ac:dyDescent="0.35">
      <c r="A226" s="1">
        <v>44511</v>
      </c>
      <c r="B226" t="s">
        <v>274</v>
      </c>
      <c r="D226" s="1">
        <v>44501</v>
      </c>
      <c r="E226" t="s">
        <v>1447</v>
      </c>
    </row>
    <row r="227" spans="1:5" x14ac:dyDescent="0.35">
      <c r="A227" s="1">
        <v>44512</v>
      </c>
      <c r="B227" t="s">
        <v>276</v>
      </c>
      <c r="D227" s="1">
        <v>44502</v>
      </c>
      <c r="E227" t="s">
        <v>1448</v>
      </c>
    </row>
    <row r="228" spans="1:5" x14ac:dyDescent="0.35">
      <c r="A228" s="1">
        <v>44515</v>
      </c>
      <c r="B228" t="s">
        <v>277</v>
      </c>
      <c r="D228" s="1">
        <v>44503</v>
      </c>
      <c r="E228" t="s">
        <v>1295</v>
      </c>
    </row>
    <row r="229" spans="1:5" x14ac:dyDescent="0.35">
      <c r="A229" s="1">
        <v>44516</v>
      </c>
      <c r="B229" t="s">
        <v>23</v>
      </c>
      <c r="D229" s="1">
        <v>44504</v>
      </c>
      <c r="E229" t="s">
        <v>1450</v>
      </c>
    </row>
    <row r="230" spans="1:5" x14ac:dyDescent="0.35">
      <c r="A230" s="1">
        <v>44517</v>
      </c>
      <c r="B230" t="s">
        <v>278</v>
      </c>
      <c r="D230" s="1">
        <v>44505</v>
      </c>
      <c r="E230" t="s">
        <v>1451</v>
      </c>
    </row>
    <row r="231" spans="1:5" x14ac:dyDescent="0.35">
      <c r="A231" s="1">
        <v>44518</v>
      </c>
      <c r="B231" t="s">
        <v>2</v>
      </c>
      <c r="D231" s="1">
        <v>44508</v>
      </c>
      <c r="E231" t="s">
        <v>1452</v>
      </c>
    </row>
    <row r="232" spans="1:5" x14ac:dyDescent="0.35">
      <c r="A232" s="1">
        <v>44519</v>
      </c>
      <c r="B232" t="s">
        <v>279</v>
      </c>
      <c r="D232" s="1">
        <v>44509</v>
      </c>
      <c r="E232" t="s">
        <v>1453</v>
      </c>
    </row>
    <row r="233" spans="1:5" x14ac:dyDescent="0.35">
      <c r="A233" s="1">
        <v>44522</v>
      </c>
      <c r="B233" t="s">
        <v>200</v>
      </c>
      <c r="D233" s="1">
        <v>44510</v>
      </c>
      <c r="E233" t="s">
        <v>1454</v>
      </c>
    </row>
    <row r="234" spans="1:5" x14ac:dyDescent="0.35">
      <c r="A234" s="1">
        <v>44523</v>
      </c>
      <c r="B234" t="s">
        <v>280</v>
      </c>
      <c r="D234" s="1">
        <v>44511</v>
      </c>
      <c r="E234" t="s">
        <v>1455</v>
      </c>
    </row>
    <row r="235" spans="1:5" x14ac:dyDescent="0.35">
      <c r="A235" s="1">
        <v>44524</v>
      </c>
      <c r="B235" t="s">
        <v>128</v>
      </c>
      <c r="D235" s="1">
        <v>44512</v>
      </c>
      <c r="E235" t="s">
        <v>1456</v>
      </c>
    </row>
    <row r="236" spans="1:5" x14ac:dyDescent="0.35">
      <c r="A236" s="1">
        <v>44526</v>
      </c>
      <c r="B236" t="s">
        <v>282</v>
      </c>
      <c r="D236" s="1">
        <v>44515</v>
      </c>
      <c r="E236" t="s">
        <v>1458</v>
      </c>
    </row>
    <row r="237" spans="1:5" x14ac:dyDescent="0.35">
      <c r="A237" s="1">
        <v>44529</v>
      </c>
      <c r="B237" t="s">
        <v>167</v>
      </c>
      <c r="D237" s="1">
        <v>44516</v>
      </c>
      <c r="E237" t="s">
        <v>1459</v>
      </c>
    </row>
    <row r="238" spans="1:5" x14ac:dyDescent="0.35">
      <c r="A238" s="1">
        <v>44530</v>
      </c>
      <c r="B238" t="s">
        <v>284</v>
      </c>
      <c r="D238" s="1">
        <v>44517</v>
      </c>
      <c r="E238" t="s">
        <v>1460</v>
      </c>
    </row>
    <row r="239" spans="1:5" x14ac:dyDescent="0.35">
      <c r="A239" s="1">
        <v>44531</v>
      </c>
      <c r="B239" t="s">
        <v>213</v>
      </c>
      <c r="D239" s="1">
        <v>44518</v>
      </c>
      <c r="E239" t="s">
        <v>1461</v>
      </c>
    </row>
    <row r="240" spans="1:5" x14ac:dyDescent="0.35">
      <c r="A240" s="1">
        <v>44532</v>
      </c>
      <c r="B240" t="s">
        <v>285</v>
      </c>
      <c r="D240" s="1">
        <v>44519</v>
      </c>
      <c r="E240" t="s">
        <v>1437</v>
      </c>
    </row>
    <row r="241" spans="1:5" x14ac:dyDescent="0.35">
      <c r="A241" s="1">
        <v>44533</v>
      </c>
      <c r="B241" t="s">
        <v>121</v>
      </c>
      <c r="D241" s="1">
        <v>44522</v>
      </c>
      <c r="E241" t="s">
        <v>1272</v>
      </c>
    </row>
    <row r="242" spans="1:5" x14ac:dyDescent="0.35">
      <c r="A242" s="1">
        <v>44536</v>
      </c>
      <c r="B242" t="s">
        <v>286</v>
      </c>
      <c r="D242" s="1">
        <v>44523</v>
      </c>
      <c r="E242" t="s">
        <v>1430</v>
      </c>
    </row>
    <row r="243" spans="1:5" x14ac:dyDescent="0.35">
      <c r="A243" s="1">
        <v>44537</v>
      </c>
      <c r="B243" t="s">
        <v>173</v>
      </c>
      <c r="D243" s="1">
        <v>44524</v>
      </c>
      <c r="E243" t="s">
        <v>1462</v>
      </c>
    </row>
    <row r="244" spans="1:5" x14ac:dyDescent="0.35">
      <c r="A244" s="1">
        <v>44538</v>
      </c>
      <c r="B244" t="s">
        <v>166</v>
      </c>
      <c r="D244" s="1">
        <v>44525</v>
      </c>
      <c r="E244" t="s">
        <v>1463</v>
      </c>
    </row>
    <row r="245" spans="1:5" x14ac:dyDescent="0.35">
      <c r="A245" s="1">
        <v>44539</v>
      </c>
      <c r="B245" t="s">
        <v>259</v>
      </c>
      <c r="D245" s="1">
        <v>44526</v>
      </c>
      <c r="E245" t="s">
        <v>1464</v>
      </c>
    </row>
    <row r="246" spans="1:5" x14ac:dyDescent="0.35">
      <c r="A246" s="1">
        <v>44540</v>
      </c>
      <c r="B246" t="s">
        <v>288</v>
      </c>
      <c r="D246" s="1">
        <v>44529</v>
      </c>
      <c r="E246" t="s">
        <v>1465</v>
      </c>
    </row>
    <row r="247" spans="1:5" x14ac:dyDescent="0.35">
      <c r="A247" s="1">
        <v>44543</v>
      </c>
      <c r="B247" t="s">
        <v>289</v>
      </c>
      <c r="D247" s="1">
        <v>44530</v>
      </c>
      <c r="E247" t="s">
        <v>1466</v>
      </c>
    </row>
    <row r="248" spans="1:5" x14ac:dyDescent="0.35">
      <c r="A248" s="1">
        <v>44544</v>
      </c>
      <c r="B248" t="s">
        <v>109</v>
      </c>
      <c r="D248" s="1">
        <v>44531</v>
      </c>
      <c r="E248" t="s">
        <v>1348</v>
      </c>
    </row>
    <row r="249" spans="1:5" x14ac:dyDescent="0.35">
      <c r="A249" s="1">
        <v>44545</v>
      </c>
      <c r="B249" t="s">
        <v>245</v>
      </c>
      <c r="D249" s="1">
        <v>44532</v>
      </c>
      <c r="E249" t="s">
        <v>1384</v>
      </c>
    </row>
    <row r="250" spans="1:5" x14ac:dyDescent="0.35">
      <c r="A250" s="1">
        <v>44546</v>
      </c>
      <c r="B250" t="s">
        <v>293</v>
      </c>
      <c r="D250" s="1">
        <v>44533</v>
      </c>
      <c r="E250" t="s">
        <v>1467</v>
      </c>
    </row>
    <row r="251" spans="1:5" x14ac:dyDescent="0.35">
      <c r="A251" s="1">
        <v>44547</v>
      </c>
      <c r="B251" t="s">
        <v>294</v>
      </c>
      <c r="D251" s="1">
        <v>44536</v>
      </c>
      <c r="E251" t="s">
        <v>1468</v>
      </c>
    </row>
    <row r="252" spans="1:5" x14ac:dyDescent="0.35">
      <c r="A252" s="1">
        <v>44550</v>
      </c>
      <c r="B252" t="s">
        <v>253</v>
      </c>
      <c r="D252" s="1">
        <v>44537</v>
      </c>
      <c r="E252" t="s">
        <v>1469</v>
      </c>
    </row>
    <row r="253" spans="1:5" x14ac:dyDescent="0.35">
      <c r="A253" s="1">
        <v>44551</v>
      </c>
      <c r="B253" t="s">
        <v>174</v>
      </c>
      <c r="D253" s="1">
        <v>44538</v>
      </c>
      <c r="E253" t="s">
        <v>1423</v>
      </c>
    </row>
    <row r="254" spans="1:5" x14ac:dyDescent="0.35">
      <c r="A254" s="1">
        <v>44552</v>
      </c>
      <c r="B254" t="s">
        <v>265</v>
      </c>
      <c r="D254" s="1">
        <v>44539</v>
      </c>
      <c r="E254" t="s">
        <v>1457</v>
      </c>
    </row>
    <row r="255" spans="1:5" x14ac:dyDescent="0.35">
      <c r="A255" s="1">
        <v>44553</v>
      </c>
      <c r="B255" t="s">
        <v>296</v>
      </c>
      <c r="D255" s="1">
        <v>44540</v>
      </c>
      <c r="E255" t="s">
        <v>1470</v>
      </c>
    </row>
    <row r="256" spans="1:5" x14ac:dyDescent="0.35">
      <c r="A256" s="1">
        <v>44557</v>
      </c>
      <c r="B256" t="s">
        <v>185</v>
      </c>
      <c r="D256" s="1">
        <v>44543</v>
      </c>
      <c r="E256" t="s">
        <v>1471</v>
      </c>
    </row>
    <row r="257" spans="1:5" x14ac:dyDescent="0.35">
      <c r="A257" s="1">
        <v>44558</v>
      </c>
      <c r="B257" t="s">
        <v>297</v>
      </c>
      <c r="D257" s="1">
        <v>44544</v>
      </c>
      <c r="E257" t="s">
        <v>1472</v>
      </c>
    </row>
    <row r="258" spans="1:5" x14ac:dyDescent="0.35">
      <c r="A258" s="1">
        <v>44559</v>
      </c>
      <c r="B258" t="s">
        <v>203</v>
      </c>
      <c r="D258" s="1">
        <v>44545</v>
      </c>
      <c r="E258" t="s">
        <v>1274</v>
      </c>
    </row>
    <row r="259" spans="1:5" x14ac:dyDescent="0.35">
      <c r="A259" s="1">
        <v>44560</v>
      </c>
      <c r="B259" t="s">
        <v>299</v>
      </c>
      <c r="D259" s="1">
        <v>44546</v>
      </c>
      <c r="E259" t="s">
        <v>1282</v>
      </c>
    </row>
    <row r="260" spans="1:5" x14ac:dyDescent="0.35">
      <c r="A260" s="1">
        <v>44561</v>
      </c>
      <c r="B260" t="s">
        <v>55</v>
      </c>
      <c r="D260" s="1">
        <v>44547</v>
      </c>
      <c r="E260" t="s">
        <v>1473</v>
      </c>
    </row>
    <row r="261" spans="1:5" x14ac:dyDescent="0.35">
      <c r="A261" s="1">
        <v>44564</v>
      </c>
      <c r="B261" t="s">
        <v>300</v>
      </c>
      <c r="D261" s="1">
        <v>44550</v>
      </c>
      <c r="E261" t="s">
        <v>1259</v>
      </c>
    </row>
    <row r="262" spans="1:5" x14ac:dyDescent="0.35">
      <c r="A262" s="1">
        <v>44565</v>
      </c>
      <c r="B262" t="s">
        <v>301</v>
      </c>
      <c r="D262" s="1">
        <v>44551</v>
      </c>
      <c r="E262" t="s">
        <v>1475</v>
      </c>
    </row>
    <row r="263" spans="1:5" x14ac:dyDescent="0.35">
      <c r="A263" s="1">
        <v>44566</v>
      </c>
      <c r="B263" t="s">
        <v>303</v>
      </c>
      <c r="D263" s="1">
        <v>44552</v>
      </c>
      <c r="E263" t="s">
        <v>1474</v>
      </c>
    </row>
    <row r="264" spans="1:5" x14ac:dyDescent="0.35">
      <c r="A264" s="1">
        <v>44567</v>
      </c>
      <c r="B264" t="s">
        <v>267</v>
      </c>
      <c r="D264" s="1">
        <v>44553</v>
      </c>
      <c r="E264" t="s">
        <v>1476</v>
      </c>
    </row>
    <row r="265" spans="1:5" x14ac:dyDescent="0.35">
      <c r="A265" s="1">
        <v>44568</v>
      </c>
      <c r="B265" t="s">
        <v>179</v>
      </c>
      <c r="D265" s="1">
        <v>44554</v>
      </c>
      <c r="E265" t="s">
        <v>1279</v>
      </c>
    </row>
    <row r="266" spans="1:5" x14ac:dyDescent="0.35">
      <c r="A266" s="1">
        <v>44571</v>
      </c>
      <c r="B266" t="s">
        <v>304</v>
      </c>
      <c r="D266" s="1">
        <v>44557</v>
      </c>
      <c r="E266" t="s">
        <v>1477</v>
      </c>
    </row>
    <row r="267" spans="1:5" x14ac:dyDescent="0.35">
      <c r="A267" s="1">
        <v>44572</v>
      </c>
      <c r="B267" t="s">
        <v>305</v>
      </c>
      <c r="D267" s="1">
        <v>44558</v>
      </c>
      <c r="E267" t="s">
        <v>1478</v>
      </c>
    </row>
    <row r="268" spans="1:5" x14ac:dyDescent="0.35">
      <c r="A268" s="1">
        <v>44573</v>
      </c>
      <c r="B268" t="s">
        <v>307</v>
      </c>
      <c r="D268" s="1">
        <v>44559</v>
      </c>
      <c r="E268" t="s">
        <v>1287</v>
      </c>
    </row>
    <row r="269" spans="1:5" x14ac:dyDescent="0.35">
      <c r="A269" s="1">
        <v>44574</v>
      </c>
      <c r="B269" t="s">
        <v>308</v>
      </c>
      <c r="D269" s="1">
        <v>44560</v>
      </c>
      <c r="E269" t="s">
        <v>1408</v>
      </c>
    </row>
    <row r="270" spans="1:5" x14ac:dyDescent="0.35">
      <c r="A270" s="1">
        <v>44575</v>
      </c>
      <c r="B270" t="s">
        <v>309</v>
      </c>
      <c r="D270" s="1">
        <v>44561</v>
      </c>
      <c r="E270" t="s">
        <v>1479</v>
      </c>
    </row>
    <row r="271" spans="1:5" x14ac:dyDescent="0.35">
      <c r="A271" s="1">
        <v>44579</v>
      </c>
      <c r="B271" t="s">
        <v>201</v>
      </c>
      <c r="D271" s="1">
        <v>44564</v>
      </c>
      <c r="E271" t="s">
        <v>1480</v>
      </c>
    </row>
    <row r="272" spans="1:5" x14ac:dyDescent="0.35">
      <c r="A272" s="1">
        <v>44580</v>
      </c>
      <c r="B272" t="s">
        <v>310</v>
      </c>
      <c r="D272" s="1">
        <v>44565</v>
      </c>
      <c r="E272" t="s">
        <v>1481</v>
      </c>
    </row>
    <row r="273" spans="1:5" x14ac:dyDescent="0.35">
      <c r="A273" s="1">
        <v>44581</v>
      </c>
      <c r="B273" t="s">
        <v>311</v>
      </c>
      <c r="D273" s="1">
        <v>44566</v>
      </c>
      <c r="E273" t="s">
        <v>1482</v>
      </c>
    </row>
    <row r="274" spans="1:5" x14ac:dyDescent="0.35">
      <c r="A274" s="1">
        <v>44582</v>
      </c>
      <c r="B274" t="s">
        <v>312</v>
      </c>
      <c r="D274" s="1">
        <v>44567</v>
      </c>
      <c r="E274" t="s">
        <v>1484</v>
      </c>
    </row>
    <row r="275" spans="1:5" x14ac:dyDescent="0.35">
      <c r="A275" s="1">
        <v>44585</v>
      </c>
      <c r="B275" t="s">
        <v>314</v>
      </c>
      <c r="D275" s="1">
        <v>44568</v>
      </c>
      <c r="E275" t="s">
        <v>1485</v>
      </c>
    </row>
    <row r="276" spans="1:5" x14ac:dyDescent="0.35">
      <c r="A276" s="1">
        <v>44586</v>
      </c>
      <c r="B276" t="s">
        <v>33</v>
      </c>
      <c r="D276" s="1">
        <v>44571</v>
      </c>
      <c r="E276" t="s">
        <v>1473</v>
      </c>
    </row>
    <row r="277" spans="1:5" x14ac:dyDescent="0.35">
      <c r="A277" s="1">
        <v>44587</v>
      </c>
      <c r="B277" t="s">
        <v>315</v>
      </c>
      <c r="D277" s="1">
        <v>44572</v>
      </c>
      <c r="E277" t="s">
        <v>1419</v>
      </c>
    </row>
    <row r="278" spans="1:5" x14ac:dyDescent="0.35">
      <c r="A278" s="1">
        <v>44588</v>
      </c>
      <c r="B278" t="s">
        <v>316</v>
      </c>
      <c r="D278" s="1">
        <v>44573</v>
      </c>
      <c r="E278" t="s">
        <v>1421</v>
      </c>
    </row>
    <row r="279" spans="1:5" x14ac:dyDescent="0.35">
      <c r="A279" s="1">
        <v>44589</v>
      </c>
      <c r="B279" t="s">
        <v>317</v>
      </c>
      <c r="D279" s="1">
        <v>44574</v>
      </c>
      <c r="E279" t="s">
        <v>1372</v>
      </c>
    </row>
    <row r="280" spans="1:5" x14ac:dyDescent="0.35">
      <c r="A280" s="1">
        <v>44592</v>
      </c>
      <c r="B280" t="s">
        <v>318</v>
      </c>
      <c r="D280" s="1">
        <v>44575</v>
      </c>
      <c r="E280" t="s">
        <v>1487</v>
      </c>
    </row>
    <row r="281" spans="1:5" x14ac:dyDescent="0.35">
      <c r="A281" s="1">
        <v>44593</v>
      </c>
      <c r="B281" t="s">
        <v>319</v>
      </c>
      <c r="D281" s="1">
        <v>44578</v>
      </c>
      <c r="E281" t="s">
        <v>1488</v>
      </c>
    </row>
    <row r="282" spans="1:5" x14ac:dyDescent="0.35">
      <c r="A282" s="1">
        <v>44594</v>
      </c>
      <c r="B282" t="s">
        <v>56</v>
      </c>
      <c r="D282" s="1">
        <v>44579</v>
      </c>
      <c r="E282" t="s">
        <v>1489</v>
      </c>
    </row>
    <row r="283" spans="1:5" x14ac:dyDescent="0.35">
      <c r="A283" s="1">
        <v>44595</v>
      </c>
      <c r="B283" t="s">
        <v>306</v>
      </c>
      <c r="D283" s="1">
        <v>44580</v>
      </c>
      <c r="E283" t="s">
        <v>1490</v>
      </c>
    </row>
    <row r="284" spans="1:5" x14ac:dyDescent="0.35">
      <c r="A284" s="1">
        <v>44596</v>
      </c>
      <c r="B284" t="s">
        <v>196</v>
      </c>
      <c r="D284" s="1">
        <v>44581</v>
      </c>
      <c r="E284" t="s">
        <v>1382</v>
      </c>
    </row>
    <row r="285" spans="1:5" x14ac:dyDescent="0.35">
      <c r="A285" s="1">
        <v>44599</v>
      </c>
      <c r="B285" t="s">
        <v>320</v>
      </c>
      <c r="D285" s="1">
        <v>44582</v>
      </c>
      <c r="E285" t="s">
        <v>1292</v>
      </c>
    </row>
    <row r="286" spans="1:5" x14ac:dyDescent="0.35">
      <c r="A286" s="1">
        <v>44600</v>
      </c>
      <c r="B286" t="s">
        <v>321</v>
      </c>
      <c r="D286" s="1">
        <v>44585</v>
      </c>
      <c r="E286" t="s">
        <v>1491</v>
      </c>
    </row>
    <row r="287" spans="1:5" x14ac:dyDescent="0.35">
      <c r="A287" s="1">
        <v>44601</v>
      </c>
      <c r="B287" t="s">
        <v>322</v>
      </c>
      <c r="D287" s="1">
        <v>44586</v>
      </c>
      <c r="E287" t="s">
        <v>1493</v>
      </c>
    </row>
    <row r="288" spans="1:5" x14ac:dyDescent="0.35">
      <c r="A288" s="1">
        <v>44602</v>
      </c>
      <c r="B288" t="s">
        <v>323</v>
      </c>
      <c r="D288" s="1">
        <v>44587</v>
      </c>
      <c r="E288" t="s">
        <v>1494</v>
      </c>
    </row>
    <row r="289" spans="1:5" x14ac:dyDescent="0.35">
      <c r="A289" s="1">
        <v>44603</v>
      </c>
      <c r="B289" t="s">
        <v>324</v>
      </c>
      <c r="D289" s="1">
        <v>44588</v>
      </c>
      <c r="E289" t="s">
        <v>1495</v>
      </c>
    </row>
    <row r="290" spans="1:5" x14ac:dyDescent="0.35">
      <c r="A290" s="1">
        <v>44606</v>
      </c>
      <c r="B290" t="s">
        <v>31</v>
      </c>
      <c r="D290" s="1">
        <v>44589</v>
      </c>
      <c r="E290" t="s">
        <v>1496</v>
      </c>
    </row>
    <row r="291" spans="1:5" x14ac:dyDescent="0.35">
      <c r="A291" s="1">
        <v>44607</v>
      </c>
      <c r="B291" t="s">
        <v>326</v>
      </c>
      <c r="D291" s="1">
        <v>44592</v>
      </c>
      <c r="E291" t="s">
        <v>1499</v>
      </c>
    </row>
    <row r="292" spans="1:5" x14ac:dyDescent="0.35">
      <c r="A292" s="1">
        <v>44608</v>
      </c>
      <c r="B292" t="s">
        <v>328</v>
      </c>
      <c r="D292" s="1">
        <v>44593</v>
      </c>
      <c r="E292" t="s">
        <v>1500</v>
      </c>
    </row>
    <row r="293" spans="1:5" x14ac:dyDescent="0.35">
      <c r="A293" s="1">
        <v>44609</v>
      </c>
      <c r="B293" t="s">
        <v>329</v>
      </c>
      <c r="D293" s="1">
        <v>44594</v>
      </c>
      <c r="E293" t="s">
        <v>1501</v>
      </c>
    </row>
    <row r="294" spans="1:5" x14ac:dyDescent="0.35">
      <c r="A294" s="1">
        <v>44610</v>
      </c>
      <c r="B294" t="s">
        <v>330</v>
      </c>
      <c r="D294" s="1">
        <v>44595</v>
      </c>
      <c r="E294" t="s">
        <v>1503</v>
      </c>
    </row>
    <row r="295" spans="1:5" x14ac:dyDescent="0.35">
      <c r="A295" s="1">
        <v>44614</v>
      </c>
      <c r="B295" t="s">
        <v>332</v>
      </c>
      <c r="D295" s="1">
        <v>44596</v>
      </c>
      <c r="E295" t="s">
        <v>1504</v>
      </c>
    </row>
    <row r="296" spans="1:5" x14ac:dyDescent="0.35">
      <c r="A296" s="1">
        <v>44615</v>
      </c>
      <c r="B296" t="s">
        <v>333</v>
      </c>
      <c r="D296" s="1">
        <v>44599</v>
      </c>
      <c r="E296" t="s">
        <v>1505</v>
      </c>
    </row>
    <row r="297" spans="1:5" x14ac:dyDescent="0.35">
      <c r="A297" s="1">
        <v>44616</v>
      </c>
      <c r="B297" t="s">
        <v>335</v>
      </c>
      <c r="D297" s="1">
        <v>44600</v>
      </c>
      <c r="E297" t="s">
        <v>1508</v>
      </c>
    </row>
    <row r="298" spans="1:5" x14ac:dyDescent="0.35">
      <c r="A298" s="1">
        <v>44617</v>
      </c>
      <c r="B298" t="s">
        <v>337</v>
      </c>
      <c r="D298" s="1">
        <v>44601</v>
      </c>
      <c r="E298" t="s">
        <v>1256</v>
      </c>
    </row>
    <row r="299" spans="1:5" x14ac:dyDescent="0.35">
      <c r="A299" s="1">
        <v>44620</v>
      </c>
      <c r="B299" t="s">
        <v>331</v>
      </c>
      <c r="D299" s="1">
        <v>44602</v>
      </c>
      <c r="E299" t="s">
        <v>1510</v>
      </c>
    </row>
    <row r="300" spans="1:5" x14ac:dyDescent="0.35">
      <c r="A300" s="1">
        <v>44621</v>
      </c>
      <c r="B300" t="s">
        <v>338</v>
      </c>
      <c r="D300" s="1">
        <v>44603</v>
      </c>
      <c r="E300" t="s">
        <v>1512</v>
      </c>
    </row>
    <row r="301" spans="1:5" x14ac:dyDescent="0.35">
      <c r="A301" s="1">
        <v>44622</v>
      </c>
      <c r="B301" t="s">
        <v>339</v>
      </c>
      <c r="D301" s="1">
        <v>44606</v>
      </c>
      <c r="E301" t="s">
        <v>1514</v>
      </c>
    </row>
    <row r="302" spans="1:5" x14ac:dyDescent="0.35">
      <c r="A302" s="1">
        <v>44623</v>
      </c>
      <c r="B302" t="s">
        <v>341</v>
      </c>
      <c r="D302" s="1">
        <v>44607</v>
      </c>
      <c r="E302" t="s">
        <v>1515</v>
      </c>
    </row>
    <row r="303" spans="1:5" x14ac:dyDescent="0.35">
      <c r="A303" s="1">
        <v>44624</v>
      </c>
      <c r="B303" t="s">
        <v>342</v>
      </c>
      <c r="D303" s="1">
        <v>44608</v>
      </c>
      <c r="E303" t="s">
        <v>1516</v>
      </c>
    </row>
    <row r="304" spans="1:5" x14ac:dyDescent="0.35">
      <c r="A304" s="1">
        <v>44627</v>
      </c>
      <c r="B304" t="s">
        <v>344</v>
      </c>
      <c r="D304" s="1">
        <v>44609</v>
      </c>
      <c r="E304" t="s">
        <v>1352</v>
      </c>
    </row>
    <row r="305" spans="1:5" x14ac:dyDescent="0.35">
      <c r="A305" s="1">
        <v>44628</v>
      </c>
      <c r="B305" t="s">
        <v>345</v>
      </c>
      <c r="D305" s="1">
        <v>44610</v>
      </c>
      <c r="E305" t="s">
        <v>1446</v>
      </c>
    </row>
    <row r="306" spans="1:5" x14ac:dyDescent="0.35">
      <c r="A306" s="1">
        <v>44629</v>
      </c>
      <c r="B306" t="s">
        <v>346</v>
      </c>
      <c r="D306" s="1">
        <v>44613</v>
      </c>
      <c r="E306" t="s">
        <v>1349</v>
      </c>
    </row>
    <row r="307" spans="1:5" x14ac:dyDescent="0.35">
      <c r="A307" s="1">
        <v>44630</v>
      </c>
      <c r="B307" t="s">
        <v>347</v>
      </c>
      <c r="D307" s="1">
        <v>44614</v>
      </c>
      <c r="E307" t="s">
        <v>1517</v>
      </c>
    </row>
    <row r="308" spans="1:5" x14ac:dyDescent="0.35">
      <c r="A308" s="1">
        <v>44631</v>
      </c>
      <c r="B308" t="s">
        <v>348</v>
      </c>
      <c r="D308" s="1">
        <v>44615</v>
      </c>
      <c r="E308" t="s">
        <v>1518</v>
      </c>
    </row>
    <row r="309" spans="1:5" x14ac:dyDescent="0.35">
      <c r="A309" s="1">
        <v>44634</v>
      </c>
      <c r="B309" t="s">
        <v>349</v>
      </c>
      <c r="D309" s="1">
        <v>44616</v>
      </c>
      <c r="E309" t="s">
        <v>1519</v>
      </c>
    </row>
    <row r="310" spans="1:5" x14ac:dyDescent="0.35">
      <c r="A310" s="1">
        <v>44635</v>
      </c>
      <c r="B310" t="s">
        <v>351</v>
      </c>
      <c r="D310" s="1">
        <v>44617</v>
      </c>
      <c r="E310" t="s">
        <v>1513</v>
      </c>
    </row>
    <row r="311" spans="1:5" x14ac:dyDescent="0.35">
      <c r="A311" s="1">
        <v>44636</v>
      </c>
      <c r="B311" t="s">
        <v>19</v>
      </c>
      <c r="D311" s="1">
        <v>44620</v>
      </c>
      <c r="E311" t="s">
        <v>1520</v>
      </c>
    </row>
    <row r="312" spans="1:5" x14ac:dyDescent="0.35">
      <c r="A312" s="1">
        <v>44637</v>
      </c>
      <c r="B312" t="s">
        <v>354</v>
      </c>
      <c r="D312" s="1">
        <v>44621</v>
      </c>
      <c r="E312" t="s">
        <v>1364</v>
      </c>
    </row>
    <row r="313" spans="1:5" x14ac:dyDescent="0.35">
      <c r="A313" s="1">
        <v>44638</v>
      </c>
      <c r="B313" t="s">
        <v>356</v>
      </c>
      <c r="D313" s="1">
        <v>44622</v>
      </c>
      <c r="E313" t="s">
        <v>1370</v>
      </c>
    </row>
    <row r="314" spans="1:5" x14ac:dyDescent="0.35">
      <c r="A314" s="1">
        <v>44641</v>
      </c>
      <c r="B314" t="s">
        <v>357</v>
      </c>
      <c r="D314" s="1">
        <v>44623</v>
      </c>
      <c r="E314" t="s">
        <v>1521</v>
      </c>
    </row>
    <row r="315" spans="1:5" x14ac:dyDescent="0.35">
      <c r="A315" s="1">
        <v>44642</v>
      </c>
      <c r="B315" t="s">
        <v>360</v>
      </c>
      <c r="D315" s="1">
        <v>44624</v>
      </c>
      <c r="E315" t="s">
        <v>1522</v>
      </c>
    </row>
    <row r="316" spans="1:5" x14ac:dyDescent="0.35">
      <c r="A316" s="1">
        <v>44643</v>
      </c>
      <c r="B316" t="s">
        <v>361</v>
      </c>
      <c r="D316" s="1">
        <v>44627</v>
      </c>
      <c r="E316" t="s">
        <v>1523</v>
      </c>
    </row>
    <row r="317" spans="1:5" x14ac:dyDescent="0.35">
      <c r="A317" s="1">
        <v>44644</v>
      </c>
      <c r="B317" t="s">
        <v>362</v>
      </c>
      <c r="D317" s="1">
        <v>44628</v>
      </c>
      <c r="E317" t="s">
        <v>1524</v>
      </c>
    </row>
    <row r="318" spans="1:5" x14ac:dyDescent="0.35">
      <c r="A318" s="1">
        <v>44645</v>
      </c>
      <c r="B318" t="s">
        <v>364</v>
      </c>
      <c r="D318" s="1">
        <v>44629</v>
      </c>
      <c r="E318" t="s">
        <v>1511</v>
      </c>
    </row>
    <row r="319" spans="1:5" x14ac:dyDescent="0.35">
      <c r="A319" s="1">
        <v>44648</v>
      </c>
      <c r="B319" t="s">
        <v>365</v>
      </c>
      <c r="D319" s="1">
        <v>44630</v>
      </c>
      <c r="E319" t="s">
        <v>1525</v>
      </c>
    </row>
    <row r="320" spans="1:5" x14ac:dyDescent="0.35">
      <c r="A320" s="1">
        <v>44649</v>
      </c>
      <c r="B320" t="s">
        <v>17</v>
      </c>
      <c r="D320" s="1">
        <v>44631</v>
      </c>
      <c r="E320" t="s">
        <v>1526</v>
      </c>
    </row>
    <row r="321" spans="1:5" x14ac:dyDescent="0.35">
      <c r="A321" s="1">
        <v>44650</v>
      </c>
      <c r="B321" t="s">
        <v>367</v>
      </c>
      <c r="D321" s="1">
        <v>44634</v>
      </c>
      <c r="E321" t="s">
        <v>1527</v>
      </c>
    </row>
    <row r="322" spans="1:5" x14ac:dyDescent="0.35">
      <c r="A322" s="1">
        <v>44651</v>
      </c>
      <c r="B322" t="s">
        <v>369</v>
      </c>
      <c r="D322" s="1">
        <v>44635</v>
      </c>
      <c r="E322" t="s">
        <v>1528</v>
      </c>
    </row>
    <row r="323" spans="1:5" x14ac:dyDescent="0.35">
      <c r="A323" s="1">
        <v>44652</v>
      </c>
      <c r="B323" t="s">
        <v>370</v>
      </c>
      <c r="D323" s="1">
        <v>44636</v>
      </c>
      <c r="E323" t="s">
        <v>1529</v>
      </c>
    </row>
    <row r="324" spans="1:5" x14ac:dyDescent="0.35">
      <c r="A324" s="1">
        <v>44655</v>
      </c>
      <c r="B324" t="s">
        <v>372</v>
      </c>
      <c r="D324" s="1">
        <v>44637</v>
      </c>
      <c r="E324" t="s">
        <v>1530</v>
      </c>
    </row>
    <row r="325" spans="1:5" x14ac:dyDescent="0.35">
      <c r="A325" s="1">
        <v>44656</v>
      </c>
      <c r="B325" t="s">
        <v>373</v>
      </c>
      <c r="D325" s="1">
        <v>44638</v>
      </c>
      <c r="E325" t="s">
        <v>1531</v>
      </c>
    </row>
    <row r="326" spans="1:5" x14ac:dyDescent="0.35">
      <c r="A326" s="1">
        <v>44657</v>
      </c>
      <c r="B326" t="s">
        <v>368</v>
      </c>
      <c r="D326" s="1">
        <v>44641</v>
      </c>
      <c r="E326" t="s">
        <v>1532</v>
      </c>
    </row>
    <row r="327" spans="1:5" x14ac:dyDescent="0.35">
      <c r="A327" s="1">
        <v>44658</v>
      </c>
      <c r="B327" t="s">
        <v>375</v>
      </c>
      <c r="D327" s="1">
        <v>44642</v>
      </c>
      <c r="E327" t="s">
        <v>1533</v>
      </c>
    </row>
    <row r="328" spans="1:5" x14ac:dyDescent="0.35">
      <c r="A328" s="1">
        <v>44659</v>
      </c>
      <c r="B328" t="s">
        <v>376</v>
      </c>
      <c r="D328" s="1">
        <v>44643</v>
      </c>
      <c r="E328" t="s">
        <v>1534</v>
      </c>
    </row>
    <row r="329" spans="1:5" x14ac:dyDescent="0.35">
      <c r="A329" s="1">
        <v>44662</v>
      </c>
      <c r="B329" t="s">
        <v>377</v>
      </c>
      <c r="D329" s="1">
        <v>44644</v>
      </c>
      <c r="E329" t="s">
        <v>1536</v>
      </c>
    </row>
    <row r="330" spans="1:5" x14ac:dyDescent="0.35">
      <c r="A330" s="1">
        <v>44663</v>
      </c>
      <c r="B330" t="s">
        <v>379</v>
      </c>
      <c r="D330" s="1">
        <v>44645</v>
      </c>
      <c r="E330" t="s">
        <v>1537</v>
      </c>
    </row>
    <row r="331" spans="1:5" x14ac:dyDescent="0.35">
      <c r="A331" s="1">
        <v>44664</v>
      </c>
      <c r="B331" t="s">
        <v>380</v>
      </c>
      <c r="D331" s="1">
        <v>44648</v>
      </c>
      <c r="E331" t="s">
        <v>1538</v>
      </c>
    </row>
    <row r="332" spans="1:5" x14ac:dyDescent="0.35">
      <c r="A332" s="1">
        <v>44665</v>
      </c>
      <c r="B332" t="s">
        <v>343</v>
      </c>
      <c r="D332" s="1">
        <v>44649</v>
      </c>
      <c r="E332" t="s">
        <v>1539</v>
      </c>
    </row>
    <row r="333" spans="1:5" x14ac:dyDescent="0.35">
      <c r="A333" s="1">
        <v>44669</v>
      </c>
      <c r="B333" t="s">
        <v>383</v>
      </c>
      <c r="D333" s="1">
        <v>44650</v>
      </c>
      <c r="E333" t="s">
        <v>1540</v>
      </c>
    </row>
    <row r="334" spans="1:5" x14ac:dyDescent="0.35">
      <c r="A334" s="1">
        <v>44670</v>
      </c>
      <c r="B334" t="s">
        <v>384</v>
      </c>
      <c r="D334" s="1">
        <v>44651</v>
      </c>
      <c r="E334" t="s">
        <v>1541</v>
      </c>
    </row>
    <row r="335" spans="1:5" x14ac:dyDescent="0.35">
      <c r="A335" s="1">
        <v>44671</v>
      </c>
      <c r="B335" t="s">
        <v>385</v>
      </c>
      <c r="D335" s="1">
        <v>44652</v>
      </c>
      <c r="E335" t="s">
        <v>1542</v>
      </c>
    </row>
    <row r="336" spans="1:5" x14ac:dyDescent="0.35">
      <c r="A336" s="1">
        <v>44672</v>
      </c>
      <c r="B336" t="s">
        <v>387</v>
      </c>
      <c r="D336" s="1">
        <v>44655</v>
      </c>
      <c r="E336" t="s">
        <v>1351</v>
      </c>
    </row>
    <row r="337" spans="1:5" x14ac:dyDescent="0.35">
      <c r="A337" s="1">
        <v>44673</v>
      </c>
      <c r="B337" t="s">
        <v>388</v>
      </c>
      <c r="D337" s="1">
        <v>44656</v>
      </c>
      <c r="E337" t="s">
        <v>1506</v>
      </c>
    </row>
    <row r="338" spans="1:5" x14ac:dyDescent="0.35">
      <c r="A338" s="1">
        <v>44676</v>
      </c>
      <c r="B338" t="s">
        <v>152</v>
      </c>
      <c r="D338" s="1">
        <v>44657</v>
      </c>
      <c r="E338" t="s">
        <v>1243</v>
      </c>
    </row>
    <row r="339" spans="1:5" x14ac:dyDescent="0.35">
      <c r="A339" s="1">
        <v>44677</v>
      </c>
      <c r="B339" t="s">
        <v>389</v>
      </c>
      <c r="D339" s="1">
        <v>44658</v>
      </c>
      <c r="E339" t="s">
        <v>1543</v>
      </c>
    </row>
    <row r="340" spans="1:5" x14ac:dyDescent="0.35">
      <c r="A340" s="1">
        <v>44678</v>
      </c>
      <c r="B340" t="s">
        <v>391</v>
      </c>
      <c r="D340" s="1">
        <v>44659</v>
      </c>
      <c r="E340" t="s">
        <v>1544</v>
      </c>
    </row>
    <row r="341" spans="1:5" x14ac:dyDescent="0.35">
      <c r="A341" s="1">
        <v>44679</v>
      </c>
      <c r="B341" t="s">
        <v>392</v>
      </c>
      <c r="D341" s="1">
        <v>44662</v>
      </c>
      <c r="E341" t="s">
        <v>1545</v>
      </c>
    </row>
    <row r="342" spans="1:5" x14ac:dyDescent="0.35">
      <c r="A342" s="1">
        <v>44680</v>
      </c>
      <c r="B342" t="s">
        <v>393</v>
      </c>
      <c r="D342" s="1">
        <v>44663</v>
      </c>
      <c r="E342" t="s">
        <v>1535</v>
      </c>
    </row>
    <row r="343" spans="1:5" x14ac:dyDescent="0.35">
      <c r="A343" s="1">
        <v>44683</v>
      </c>
      <c r="B343" t="s">
        <v>325</v>
      </c>
      <c r="D343" s="1">
        <v>44664</v>
      </c>
      <c r="E343" t="s">
        <v>1546</v>
      </c>
    </row>
    <row r="344" spans="1:5" x14ac:dyDescent="0.35">
      <c r="A344" s="1">
        <v>44684</v>
      </c>
      <c r="B344" t="s">
        <v>395</v>
      </c>
      <c r="D344" s="1">
        <v>44665</v>
      </c>
      <c r="E344" t="s">
        <v>1547</v>
      </c>
    </row>
    <row r="345" spans="1:5" x14ac:dyDescent="0.35">
      <c r="A345" s="1">
        <v>44685</v>
      </c>
      <c r="B345" t="s">
        <v>4</v>
      </c>
      <c r="D345" s="1">
        <v>44666</v>
      </c>
      <c r="E345" t="s">
        <v>1548</v>
      </c>
    </row>
    <row r="346" spans="1:5" x14ac:dyDescent="0.35">
      <c r="A346" s="1">
        <v>44686</v>
      </c>
      <c r="B346" t="s">
        <v>396</v>
      </c>
      <c r="D346" s="1">
        <v>44669</v>
      </c>
      <c r="E346" t="s">
        <v>1549</v>
      </c>
    </row>
    <row r="347" spans="1:5" x14ac:dyDescent="0.35">
      <c r="A347" s="1">
        <v>44687</v>
      </c>
      <c r="B347" t="s">
        <v>397</v>
      </c>
      <c r="D347" s="1">
        <v>44670</v>
      </c>
      <c r="E347" t="s">
        <v>1550</v>
      </c>
    </row>
    <row r="348" spans="1:5" x14ac:dyDescent="0.35">
      <c r="A348" s="1">
        <v>44690</v>
      </c>
      <c r="B348" t="s">
        <v>398</v>
      </c>
      <c r="D348" s="1">
        <v>44671</v>
      </c>
      <c r="E348" t="s">
        <v>1551</v>
      </c>
    </row>
    <row r="349" spans="1:5" x14ac:dyDescent="0.35">
      <c r="A349" s="1">
        <v>44691</v>
      </c>
      <c r="B349" t="s">
        <v>399</v>
      </c>
      <c r="D349" s="1">
        <v>44672</v>
      </c>
      <c r="E349" t="s">
        <v>1552</v>
      </c>
    </row>
    <row r="350" spans="1:5" x14ac:dyDescent="0.35">
      <c r="A350" s="1">
        <v>44692</v>
      </c>
      <c r="B350" t="s">
        <v>400</v>
      </c>
      <c r="D350" s="1">
        <v>44673</v>
      </c>
      <c r="E350" t="s">
        <v>1553</v>
      </c>
    </row>
    <row r="351" spans="1:5" x14ac:dyDescent="0.35">
      <c r="A351" s="1">
        <v>44693</v>
      </c>
      <c r="B351" t="s">
        <v>135</v>
      </c>
      <c r="D351" s="1">
        <v>44676</v>
      </c>
      <c r="E351" t="s">
        <v>1554</v>
      </c>
    </row>
    <row r="352" spans="1:5" x14ac:dyDescent="0.35">
      <c r="A352" s="1">
        <v>44694</v>
      </c>
      <c r="B352" t="s">
        <v>402</v>
      </c>
      <c r="D352" s="1">
        <v>44677</v>
      </c>
      <c r="E352" t="s">
        <v>1555</v>
      </c>
    </row>
    <row r="353" spans="1:5" x14ac:dyDescent="0.35">
      <c r="A353" s="1">
        <v>44697</v>
      </c>
      <c r="B353" t="s">
        <v>46</v>
      </c>
      <c r="D353" s="1">
        <v>44678</v>
      </c>
      <c r="E353" t="s">
        <v>1556</v>
      </c>
    </row>
    <row r="354" spans="1:5" x14ac:dyDescent="0.35">
      <c r="A354" s="1">
        <v>44698</v>
      </c>
      <c r="B354" t="s">
        <v>220</v>
      </c>
      <c r="D354" s="1">
        <v>44679</v>
      </c>
      <c r="E354" t="s">
        <v>1557</v>
      </c>
    </row>
    <row r="355" spans="1:5" x14ac:dyDescent="0.35">
      <c r="A355" s="1">
        <v>44699</v>
      </c>
      <c r="B355" t="s">
        <v>222</v>
      </c>
      <c r="D355" s="1">
        <v>44680</v>
      </c>
      <c r="E355" t="s">
        <v>1558</v>
      </c>
    </row>
    <row r="356" spans="1:5" x14ac:dyDescent="0.35">
      <c r="A356" s="1">
        <v>44700</v>
      </c>
      <c r="B356" t="s">
        <v>404</v>
      </c>
      <c r="D356" s="1">
        <v>44683</v>
      </c>
      <c r="E356" t="s">
        <v>1559</v>
      </c>
    </row>
    <row r="357" spans="1:5" x14ac:dyDescent="0.35">
      <c r="A357" s="1">
        <v>44701</v>
      </c>
      <c r="B357" t="s">
        <v>405</v>
      </c>
      <c r="D357" s="1">
        <v>44684</v>
      </c>
      <c r="E357" t="s">
        <v>1561</v>
      </c>
    </row>
    <row r="358" spans="1:5" x14ac:dyDescent="0.35">
      <c r="A358" s="1">
        <v>44704</v>
      </c>
      <c r="B358" t="s">
        <v>29</v>
      </c>
      <c r="D358" s="1">
        <v>44685</v>
      </c>
      <c r="E358" t="s">
        <v>1562</v>
      </c>
    </row>
    <row r="359" spans="1:5" x14ac:dyDescent="0.35">
      <c r="A359" s="1">
        <v>44705</v>
      </c>
      <c r="B359" t="s">
        <v>406</v>
      </c>
      <c r="D359" s="1">
        <v>44686</v>
      </c>
      <c r="E359" t="s">
        <v>1563</v>
      </c>
    </row>
    <row r="360" spans="1:5" x14ac:dyDescent="0.35">
      <c r="A360" s="1">
        <v>44706</v>
      </c>
      <c r="B360" t="s">
        <v>407</v>
      </c>
      <c r="D360" s="1">
        <v>44687</v>
      </c>
      <c r="E360" t="s">
        <v>1564</v>
      </c>
    </row>
    <row r="361" spans="1:5" x14ac:dyDescent="0.35">
      <c r="A361" s="1">
        <v>44707</v>
      </c>
      <c r="B361" t="s">
        <v>327</v>
      </c>
      <c r="D361" s="1">
        <v>44690</v>
      </c>
      <c r="E361" t="s">
        <v>1565</v>
      </c>
    </row>
    <row r="362" spans="1:5" x14ac:dyDescent="0.35">
      <c r="A362" s="1">
        <v>44708</v>
      </c>
      <c r="B362" t="s">
        <v>409</v>
      </c>
      <c r="D362" s="1">
        <v>44691</v>
      </c>
      <c r="E362" t="s">
        <v>1566</v>
      </c>
    </row>
    <row r="363" spans="1:5" x14ac:dyDescent="0.35">
      <c r="A363" s="1">
        <v>44712</v>
      </c>
      <c r="B363" t="s">
        <v>410</v>
      </c>
      <c r="D363" s="1">
        <v>44692</v>
      </c>
      <c r="E363" t="s">
        <v>1567</v>
      </c>
    </row>
    <row r="364" spans="1:5" x14ac:dyDescent="0.35">
      <c r="A364" s="1">
        <v>44713</v>
      </c>
      <c r="B364" t="s">
        <v>50</v>
      </c>
      <c r="D364" s="1">
        <v>44693</v>
      </c>
      <c r="E364" t="s">
        <v>1568</v>
      </c>
    </row>
    <row r="365" spans="1:5" x14ac:dyDescent="0.35">
      <c r="A365" s="1">
        <v>44714</v>
      </c>
      <c r="B365" t="s">
        <v>275</v>
      </c>
      <c r="D365" s="1">
        <v>44694</v>
      </c>
      <c r="E365" t="s">
        <v>1569</v>
      </c>
    </row>
    <row r="366" spans="1:5" x14ac:dyDescent="0.35">
      <c r="A366" s="1">
        <v>44715</v>
      </c>
      <c r="B366" t="s">
        <v>412</v>
      </c>
      <c r="D366" s="1">
        <v>44697</v>
      </c>
      <c r="E366" t="s">
        <v>1570</v>
      </c>
    </row>
    <row r="367" spans="1:5" x14ac:dyDescent="0.35">
      <c r="A367" s="1">
        <v>44718</v>
      </c>
      <c r="B367" t="s">
        <v>413</v>
      </c>
      <c r="D367" s="1">
        <v>44698</v>
      </c>
      <c r="E367" t="s">
        <v>1571</v>
      </c>
    </row>
    <row r="368" spans="1:5" x14ac:dyDescent="0.35">
      <c r="A368" s="1">
        <v>44719</v>
      </c>
      <c r="B368" t="s">
        <v>414</v>
      </c>
      <c r="D368" s="1">
        <v>44699</v>
      </c>
      <c r="E368" t="s">
        <v>1572</v>
      </c>
    </row>
    <row r="369" spans="1:5" x14ac:dyDescent="0.35">
      <c r="A369" s="1">
        <v>44720</v>
      </c>
      <c r="B369" t="s">
        <v>401</v>
      </c>
      <c r="D369" s="1">
        <v>44700</v>
      </c>
      <c r="E369" t="s">
        <v>1573</v>
      </c>
    </row>
    <row r="370" spans="1:5" x14ac:dyDescent="0.35">
      <c r="A370" s="1">
        <v>44721</v>
      </c>
      <c r="B370" t="s">
        <v>415</v>
      </c>
      <c r="D370" s="1">
        <v>44701</v>
      </c>
      <c r="E370" t="s">
        <v>1574</v>
      </c>
    </row>
    <row r="371" spans="1:5" x14ac:dyDescent="0.35">
      <c r="A371" s="1">
        <v>44722</v>
      </c>
      <c r="B371" t="s">
        <v>154</v>
      </c>
      <c r="D371" s="1">
        <v>44704</v>
      </c>
      <c r="E371" t="s">
        <v>1575</v>
      </c>
    </row>
    <row r="372" spans="1:5" x14ac:dyDescent="0.35">
      <c r="A372" s="1">
        <v>44725</v>
      </c>
      <c r="B372" t="s">
        <v>198</v>
      </c>
      <c r="D372" s="1">
        <v>44705</v>
      </c>
      <c r="E372" t="s">
        <v>1576</v>
      </c>
    </row>
    <row r="373" spans="1:5" x14ac:dyDescent="0.35">
      <c r="A373" s="1">
        <v>44726</v>
      </c>
      <c r="B373" t="s">
        <v>224</v>
      </c>
      <c r="D373" s="1">
        <v>44706</v>
      </c>
      <c r="E373" t="s">
        <v>1577</v>
      </c>
    </row>
    <row r="374" spans="1:5" x14ac:dyDescent="0.35">
      <c r="A374" s="1">
        <v>44727</v>
      </c>
      <c r="B374" t="s">
        <v>302</v>
      </c>
      <c r="D374" s="1">
        <v>44707</v>
      </c>
      <c r="E374" t="s">
        <v>1578</v>
      </c>
    </row>
    <row r="375" spans="1:5" x14ac:dyDescent="0.35">
      <c r="A375" s="1">
        <v>44728</v>
      </c>
      <c r="B375" t="s">
        <v>416</v>
      </c>
      <c r="D375" s="1">
        <v>44708</v>
      </c>
      <c r="E375" t="s">
        <v>1579</v>
      </c>
    </row>
    <row r="376" spans="1:5" x14ac:dyDescent="0.35">
      <c r="A376" s="1">
        <v>44729</v>
      </c>
      <c r="B376" t="s">
        <v>132</v>
      </c>
      <c r="D376" s="1">
        <v>44711</v>
      </c>
      <c r="E376" t="s">
        <v>1580</v>
      </c>
    </row>
    <row r="377" spans="1:5" x14ac:dyDescent="0.35">
      <c r="A377" s="1">
        <v>44733</v>
      </c>
      <c r="B377" t="s">
        <v>417</v>
      </c>
      <c r="D377" s="1">
        <v>44712</v>
      </c>
      <c r="E377" t="s">
        <v>1581</v>
      </c>
    </row>
    <row r="378" spans="1:5" x14ac:dyDescent="0.35">
      <c r="A378" s="1">
        <v>44734</v>
      </c>
      <c r="B378" t="s">
        <v>418</v>
      </c>
      <c r="D378" s="1">
        <v>44713</v>
      </c>
      <c r="E378" t="s">
        <v>1582</v>
      </c>
    </row>
    <row r="379" spans="1:5" x14ac:dyDescent="0.35">
      <c r="A379" s="1">
        <v>44735</v>
      </c>
      <c r="B379" t="s">
        <v>228</v>
      </c>
      <c r="D379" s="1">
        <v>44714</v>
      </c>
      <c r="E379" t="s">
        <v>1583</v>
      </c>
    </row>
    <row r="380" spans="1:5" x14ac:dyDescent="0.35">
      <c r="A380" s="1">
        <v>44736</v>
      </c>
      <c r="B380" t="s">
        <v>21</v>
      </c>
      <c r="D380" s="1">
        <v>44715</v>
      </c>
      <c r="E380" t="s">
        <v>1584</v>
      </c>
    </row>
    <row r="381" spans="1:5" x14ac:dyDescent="0.35">
      <c r="A381" s="1">
        <v>44739</v>
      </c>
      <c r="B381" t="s">
        <v>53</v>
      </c>
      <c r="D381" s="1">
        <v>44718</v>
      </c>
      <c r="E381" t="s">
        <v>1585</v>
      </c>
    </row>
    <row r="382" spans="1:5" x14ac:dyDescent="0.35">
      <c r="A382" s="1">
        <v>44740</v>
      </c>
      <c r="B382" t="s">
        <v>419</v>
      </c>
      <c r="D382" s="1">
        <v>44719</v>
      </c>
      <c r="E382" t="s">
        <v>1586</v>
      </c>
    </row>
    <row r="383" spans="1:5" x14ac:dyDescent="0.35">
      <c r="A383" s="1">
        <v>44741</v>
      </c>
      <c r="B383" t="s">
        <v>204</v>
      </c>
      <c r="D383" s="1">
        <v>44720</v>
      </c>
      <c r="E383" t="s">
        <v>1587</v>
      </c>
    </row>
    <row r="384" spans="1:5" x14ac:dyDescent="0.35">
      <c r="A384" s="1">
        <v>44742</v>
      </c>
      <c r="B384" t="s">
        <v>420</v>
      </c>
      <c r="D384" s="1">
        <v>44721</v>
      </c>
      <c r="E384" t="s">
        <v>1588</v>
      </c>
    </row>
    <row r="385" spans="1:5" x14ac:dyDescent="0.35">
      <c r="A385" s="1">
        <v>44743</v>
      </c>
      <c r="B385" t="s">
        <v>283</v>
      </c>
      <c r="D385" s="1">
        <v>44722</v>
      </c>
      <c r="E385" t="s">
        <v>1589</v>
      </c>
    </row>
    <row r="386" spans="1:5" x14ac:dyDescent="0.35">
      <c r="A386" s="1">
        <v>44747</v>
      </c>
      <c r="B386" t="s">
        <v>236</v>
      </c>
      <c r="D386" s="1">
        <v>44725</v>
      </c>
      <c r="E386" t="s">
        <v>1590</v>
      </c>
    </row>
    <row r="387" spans="1:5" x14ac:dyDescent="0.35">
      <c r="A387" s="1">
        <v>44748</v>
      </c>
      <c r="B387" t="s">
        <v>105</v>
      </c>
      <c r="D387" s="1">
        <v>44726</v>
      </c>
      <c r="E387" t="s">
        <v>1591</v>
      </c>
    </row>
    <row r="388" spans="1:5" x14ac:dyDescent="0.35">
      <c r="A388" s="1">
        <v>44749</v>
      </c>
      <c r="B388" t="s">
        <v>422</v>
      </c>
      <c r="D388" s="1">
        <v>44727</v>
      </c>
      <c r="E388" t="s">
        <v>1592</v>
      </c>
    </row>
    <row r="389" spans="1:5" x14ac:dyDescent="0.35">
      <c r="A389" s="1">
        <v>44750</v>
      </c>
      <c r="B389" t="s">
        <v>423</v>
      </c>
      <c r="D389" s="1">
        <v>44728</v>
      </c>
      <c r="E389" t="s">
        <v>1593</v>
      </c>
    </row>
    <row r="390" spans="1:5" x14ac:dyDescent="0.35">
      <c r="A390" s="1">
        <v>44753</v>
      </c>
      <c r="B390" t="s">
        <v>73</v>
      </c>
      <c r="D390" s="1">
        <v>44729</v>
      </c>
      <c r="E390" t="s">
        <v>1594</v>
      </c>
    </row>
    <row r="391" spans="1:5" x14ac:dyDescent="0.35">
      <c r="A391" s="1">
        <v>44754</v>
      </c>
      <c r="B391" t="s">
        <v>424</v>
      </c>
      <c r="D391" s="1">
        <v>44732</v>
      </c>
      <c r="E391" t="s">
        <v>1595</v>
      </c>
    </row>
    <row r="392" spans="1:5" x14ac:dyDescent="0.35">
      <c r="A392" s="1">
        <v>44755</v>
      </c>
      <c r="B392" t="s">
        <v>425</v>
      </c>
      <c r="D392" s="1">
        <v>44733</v>
      </c>
      <c r="E392" t="s">
        <v>1596</v>
      </c>
    </row>
    <row r="393" spans="1:5" x14ac:dyDescent="0.35">
      <c r="A393" s="1">
        <v>44756</v>
      </c>
      <c r="B393" t="s">
        <v>427</v>
      </c>
      <c r="D393" s="1">
        <v>44734</v>
      </c>
      <c r="E393" t="s">
        <v>1597</v>
      </c>
    </row>
    <row r="394" spans="1:5" x14ac:dyDescent="0.35">
      <c r="A394" s="1">
        <v>44757</v>
      </c>
      <c r="B394" t="s">
        <v>428</v>
      </c>
      <c r="D394" s="1">
        <v>44735</v>
      </c>
      <c r="E394" t="s">
        <v>1598</v>
      </c>
    </row>
    <row r="395" spans="1:5" x14ac:dyDescent="0.35">
      <c r="A395" s="1">
        <v>44760</v>
      </c>
      <c r="B395" t="s">
        <v>429</v>
      </c>
      <c r="D395" s="1">
        <v>44736</v>
      </c>
      <c r="E395" t="s">
        <v>1599</v>
      </c>
    </row>
    <row r="396" spans="1:5" x14ac:dyDescent="0.35">
      <c r="A396" s="1">
        <v>44761</v>
      </c>
      <c r="B396" t="s">
        <v>426</v>
      </c>
      <c r="D396" s="1">
        <v>44739</v>
      </c>
      <c r="E396" t="s">
        <v>1600</v>
      </c>
    </row>
    <row r="397" spans="1:5" x14ac:dyDescent="0.35">
      <c r="A397" s="1">
        <v>44762</v>
      </c>
      <c r="B397" t="s">
        <v>430</v>
      </c>
      <c r="D397" s="1">
        <v>44740</v>
      </c>
      <c r="E397" t="s">
        <v>1601</v>
      </c>
    </row>
    <row r="398" spans="1:5" x14ac:dyDescent="0.35">
      <c r="A398" s="1">
        <v>44763</v>
      </c>
      <c r="B398" t="s">
        <v>431</v>
      </c>
      <c r="D398" s="1">
        <v>44741</v>
      </c>
      <c r="E398" t="s">
        <v>1602</v>
      </c>
    </row>
    <row r="399" spans="1:5" x14ac:dyDescent="0.35">
      <c r="A399" s="1">
        <v>44764</v>
      </c>
      <c r="B399" t="s">
        <v>432</v>
      </c>
      <c r="D399" s="1">
        <v>44742</v>
      </c>
      <c r="E399" t="s">
        <v>1603</v>
      </c>
    </row>
    <row r="400" spans="1:5" x14ac:dyDescent="0.35">
      <c r="A400" s="1">
        <v>44767</v>
      </c>
      <c r="B400" t="s">
        <v>433</v>
      </c>
      <c r="D400" s="1">
        <v>44743</v>
      </c>
      <c r="E400" t="s">
        <v>1604</v>
      </c>
    </row>
    <row r="401" spans="1:5" x14ac:dyDescent="0.35">
      <c r="A401" s="1">
        <v>44768</v>
      </c>
      <c r="B401" t="s">
        <v>434</v>
      </c>
      <c r="D401" s="1">
        <v>44746</v>
      </c>
      <c r="E401" t="s">
        <v>1606</v>
      </c>
    </row>
    <row r="402" spans="1:5" x14ac:dyDescent="0.35">
      <c r="A402" s="1">
        <v>44769</v>
      </c>
      <c r="B402" t="s">
        <v>435</v>
      </c>
      <c r="D402" s="1">
        <v>44747</v>
      </c>
      <c r="E402" t="s">
        <v>1607</v>
      </c>
    </row>
    <row r="403" spans="1:5" x14ac:dyDescent="0.35">
      <c r="A403" s="1">
        <v>44770</v>
      </c>
      <c r="B403" t="s">
        <v>85</v>
      </c>
      <c r="D403" s="1">
        <v>44748</v>
      </c>
      <c r="E403" t="s">
        <v>1608</v>
      </c>
    </row>
    <row r="404" spans="1:5" x14ac:dyDescent="0.35">
      <c r="A404" s="1">
        <v>44771</v>
      </c>
      <c r="B404" t="s">
        <v>249</v>
      </c>
      <c r="D404" s="1">
        <v>44749</v>
      </c>
      <c r="E404" t="s">
        <v>1609</v>
      </c>
    </row>
    <row r="405" spans="1:5" x14ac:dyDescent="0.35">
      <c r="A405" s="1">
        <v>44774</v>
      </c>
      <c r="B405" t="s">
        <v>291</v>
      </c>
      <c r="D405" s="1">
        <v>44750</v>
      </c>
      <c r="E405" t="s">
        <v>1610</v>
      </c>
    </row>
    <row r="406" spans="1:5" x14ac:dyDescent="0.35">
      <c r="A406" s="1">
        <v>44775</v>
      </c>
      <c r="B406" t="s">
        <v>58</v>
      </c>
      <c r="D406" s="1">
        <v>44753</v>
      </c>
      <c r="E406" t="s">
        <v>1611</v>
      </c>
    </row>
    <row r="407" spans="1:5" x14ac:dyDescent="0.35">
      <c r="A407" s="1">
        <v>44776</v>
      </c>
      <c r="B407" t="s">
        <v>101</v>
      </c>
      <c r="D407" s="1">
        <v>44754</v>
      </c>
      <c r="E407" t="s">
        <v>1612</v>
      </c>
    </row>
    <row r="408" spans="1:5" x14ac:dyDescent="0.35">
      <c r="A408" s="1">
        <v>44777</v>
      </c>
      <c r="B408" t="s">
        <v>111</v>
      </c>
      <c r="D408" s="1">
        <v>44755</v>
      </c>
      <c r="E408" t="s">
        <v>1613</v>
      </c>
    </row>
    <row r="409" spans="1:5" x14ac:dyDescent="0.35">
      <c r="A409" s="1">
        <v>44778</v>
      </c>
      <c r="B409" t="s">
        <v>436</v>
      </c>
      <c r="D409" s="1">
        <v>44756</v>
      </c>
      <c r="E409" t="s">
        <v>1614</v>
      </c>
    </row>
    <row r="410" spans="1:5" x14ac:dyDescent="0.35">
      <c r="A410" s="1">
        <v>44781</v>
      </c>
      <c r="B410" t="s">
        <v>437</v>
      </c>
      <c r="D410" s="1">
        <v>44757</v>
      </c>
      <c r="E410" t="s">
        <v>1615</v>
      </c>
    </row>
    <row r="411" spans="1:5" x14ac:dyDescent="0.35">
      <c r="A411" s="1">
        <v>44782</v>
      </c>
      <c r="B411" t="s">
        <v>261</v>
      </c>
      <c r="D411" s="1">
        <v>44760</v>
      </c>
      <c r="E411" t="s">
        <v>1616</v>
      </c>
    </row>
    <row r="412" spans="1:5" x14ac:dyDescent="0.35">
      <c r="A412" s="1">
        <v>44783</v>
      </c>
      <c r="B412" t="s">
        <v>439</v>
      </c>
      <c r="D412" s="1">
        <v>44761</v>
      </c>
      <c r="E412" t="s">
        <v>1617</v>
      </c>
    </row>
    <row r="413" spans="1:5" x14ac:dyDescent="0.35">
      <c r="A413" s="1">
        <v>44784</v>
      </c>
      <c r="B413" t="s">
        <v>59</v>
      </c>
      <c r="D413" s="1">
        <v>44762</v>
      </c>
      <c r="E413" t="s">
        <v>1618</v>
      </c>
    </row>
    <row r="414" spans="1:5" x14ac:dyDescent="0.35">
      <c r="A414" s="1">
        <v>44785</v>
      </c>
      <c r="B414" t="s">
        <v>440</v>
      </c>
      <c r="D414" s="1">
        <v>44763</v>
      </c>
      <c r="E414" t="s">
        <v>1619</v>
      </c>
    </row>
    <row r="415" spans="1:5" x14ac:dyDescent="0.35">
      <c r="A415" s="1">
        <v>44788</v>
      </c>
      <c r="B415" t="s">
        <v>281</v>
      </c>
      <c r="D415" s="1">
        <v>44764</v>
      </c>
      <c r="E415" t="s">
        <v>1620</v>
      </c>
    </row>
    <row r="416" spans="1:5" x14ac:dyDescent="0.35">
      <c r="A416" s="1">
        <v>44789</v>
      </c>
      <c r="B416" t="s">
        <v>122</v>
      </c>
      <c r="D416" s="1">
        <v>44767</v>
      </c>
      <c r="E416" t="s">
        <v>1621</v>
      </c>
    </row>
    <row r="417" spans="1:5" x14ac:dyDescent="0.35">
      <c r="A417" s="1">
        <v>44790</v>
      </c>
      <c r="B417" t="s">
        <v>243</v>
      </c>
      <c r="D417" s="1">
        <v>44768</v>
      </c>
      <c r="E417" t="s">
        <v>1622</v>
      </c>
    </row>
    <row r="418" spans="1:5" x14ac:dyDescent="0.35">
      <c r="A418" s="1">
        <v>44791</v>
      </c>
      <c r="B418" t="s">
        <v>242</v>
      </c>
      <c r="D418" s="1">
        <v>44769</v>
      </c>
      <c r="E418" t="s">
        <v>1623</v>
      </c>
    </row>
    <row r="419" spans="1:5" x14ac:dyDescent="0.35">
      <c r="A419" s="1">
        <v>44792</v>
      </c>
      <c r="B419" t="s">
        <v>441</v>
      </c>
      <c r="D419" s="1">
        <v>44770</v>
      </c>
      <c r="E419" t="s">
        <v>1624</v>
      </c>
    </row>
    <row r="420" spans="1:5" x14ac:dyDescent="0.35">
      <c r="A420" s="1">
        <v>44795</v>
      </c>
      <c r="B420" t="s">
        <v>421</v>
      </c>
      <c r="D420" s="1">
        <v>44771</v>
      </c>
      <c r="E420" t="s">
        <v>1625</v>
      </c>
    </row>
    <row r="421" spans="1:5" x14ac:dyDescent="0.35">
      <c r="A421" s="1">
        <v>44796</v>
      </c>
      <c r="B421" t="s">
        <v>442</v>
      </c>
      <c r="D421" s="1">
        <v>44774</v>
      </c>
      <c r="E421" t="s">
        <v>1626</v>
      </c>
    </row>
    <row r="422" spans="1:5" x14ac:dyDescent="0.35">
      <c r="A422" s="1">
        <v>44797</v>
      </c>
      <c r="B422" t="s">
        <v>443</v>
      </c>
      <c r="D422" s="1">
        <v>44775</v>
      </c>
      <c r="E422" t="s">
        <v>1627</v>
      </c>
    </row>
    <row r="423" spans="1:5" x14ac:dyDescent="0.35">
      <c r="A423" s="1">
        <v>44798</v>
      </c>
      <c r="B423" t="s">
        <v>444</v>
      </c>
      <c r="D423" s="1">
        <v>44776</v>
      </c>
      <c r="E423" t="s">
        <v>1628</v>
      </c>
    </row>
    <row r="424" spans="1:5" x14ac:dyDescent="0.35">
      <c r="A424" s="1">
        <v>44799</v>
      </c>
      <c r="B424" t="s">
        <v>445</v>
      </c>
      <c r="D424" s="1">
        <v>44777</v>
      </c>
      <c r="E424" t="s">
        <v>1629</v>
      </c>
    </row>
    <row r="425" spans="1:5" x14ac:dyDescent="0.35">
      <c r="A425" s="1">
        <v>44802</v>
      </c>
      <c r="B425" t="s">
        <v>446</v>
      </c>
      <c r="D425" s="1">
        <v>44778</v>
      </c>
      <c r="E425" t="s">
        <v>1630</v>
      </c>
    </row>
    <row r="426" spans="1:5" x14ac:dyDescent="0.35">
      <c r="A426" s="1">
        <v>44803</v>
      </c>
      <c r="B426" t="s">
        <v>447</v>
      </c>
      <c r="D426" s="1">
        <v>44781</v>
      </c>
      <c r="E426" t="s">
        <v>1623</v>
      </c>
    </row>
    <row r="427" spans="1:5" x14ac:dyDescent="0.35">
      <c r="A427" s="1">
        <v>44804</v>
      </c>
      <c r="B427" t="s">
        <v>448</v>
      </c>
      <c r="D427" s="1">
        <v>44782</v>
      </c>
      <c r="E427" t="s">
        <v>1631</v>
      </c>
    </row>
    <row r="428" spans="1:5" x14ac:dyDescent="0.35">
      <c r="A428" s="1">
        <v>44805</v>
      </c>
      <c r="B428" t="s">
        <v>449</v>
      </c>
      <c r="D428" s="1">
        <v>44783</v>
      </c>
      <c r="E428" t="s">
        <v>1632</v>
      </c>
    </row>
    <row r="429" spans="1:5" x14ac:dyDescent="0.35">
      <c r="A429" s="1">
        <v>44806</v>
      </c>
      <c r="B429" t="s">
        <v>450</v>
      </c>
      <c r="D429" s="1">
        <v>44784</v>
      </c>
      <c r="E429" t="s">
        <v>1633</v>
      </c>
    </row>
    <row r="430" spans="1:5" x14ac:dyDescent="0.35">
      <c r="A430" s="1">
        <v>44810</v>
      </c>
      <c r="B430" t="s">
        <v>451</v>
      </c>
      <c r="D430" s="1">
        <v>44785</v>
      </c>
      <c r="E430" t="s">
        <v>1634</v>
      </c>
    </row>
    <row r="431" spans="1:5" x14ac:dyDescent="0.35">
      <c r="A431" s="1">
        <v>44811</v>
      </c>
      <c r="B431" t="s">
        <v>72</v>
      </c>
      <c r="D431" s="1">
        <v>44788</v>
      </c>
      <c r="E431" t="s">
        <v>1635</v>
      </c>
    </row>
    <row r="432" spans="1:5" x14ac:dyDescent="0.35">
      <c r="A432" s="1">
        <v>44812</v>
      </c>
      <c r="B432" t="s">
        <v>452</v>
      </c>
      <c r="D432" s="1">
        <v>44789</v>
      </c>
      <c r="E432" t="s">
        <v>1636</v>
      </c>
    </row>
    <row r="433" spans="1:5" x14ac:dyDescent="0.35">
      <c r="A433" s="1">
        <v>44813</v>
      </c>
      <c r="B433" t="s">
        <v>453</v>
      </c>
      <c r="D433" s="1">
        <v>44790</v>
      </c>
      <c r="E433" t="s">
        <v>1637</v>
      </c>
    </row>
    <row r="434" spans="1:5" x14ac:dyDescent="0.35">
      <c r="A434" s="1">
        <v>44816</v>
      </c>
      <c r="B434" t="s">
        <v>68</v>
      </c>
      <c r="D434" s="1">
        <v>44791</v>
      </c>
      <c r="E434" t="s">
        <v>1638</v>
      </c>
    </row>
    <row r="435" spans="1:5" x14ac:dyDescent="0.35">
      <c r="A435" s="1">
        <v>44817</v>
      </c>
      <c r="B435" t="s">
        <v>454</v>
      </c>
      <c r="D435" s="1">
        <v>44792</v>
      </c>
      <c r="E435" t="s">
        <v>1639</v>
      </c>
    </row>
    <row r="436" spans="1:5" x14ac:dyDescent="0.35">
      <c r="A436" s="1">
        <v>44818</v>
      </c>
      <c r="B436" t="s">
        <v>455</v>
      </c>
      <c r="D436" s="1">
        <v>44795</v>
      </c>
      <c r="E436" t="s">
        <v>1640</v>
      </c>
    </row>
    <row r="437" spans="1:5" x14ac:dyDescent="0.35">
      <c r="A437" s="1">
        <v>44819</v>
      </c>
      <c r="B437" t="s">
        <v>456</v>
      </c>
      <c r="D437" s="1">
        <v>44796</v>
      </c>
      <c r="E437" t="s">
        <v>1641</v>
      </c>
    </row>
    <row r="438" spans="1:5" x14ac:dyDescent="0.35">
      <c r="A438" s="1">
        <v>44820</v>
      </c>
      <c r="B438" t="s">
        <v>457</v>
      </c>
      <c r="D438" s="1">
        <v>44797</v>
      </c>
      <c r="E438" t="s">
        <v>1642</v>
      </c>
    </row>
    <row r="439" spans="1:5" x14ac:dyDescent="0.35">
      <c r="A439" s="1">
        <v>44823</v>
      </c>
      <c r="B439" t="s">
        <v>459</v>
      </c>
      <c r="D439" s="1">
        <v>44798</v>
      </c>
      <c r="E439" t="s">
        <v>1643</v>
      </c>
    </row>
    <row r="440" spans="1:5" x14ac:dyDescent="0.35">
      <c r="A440" s="1">
        <v>44824</v>
      </c>
      <c r="B440" t="s">
        <v>461</v>
      </c>
      <c r="D440" s="1">
        <v>44799</v>
      </c>
      <c r="E440" t="s">
        <v>1644</v>
      </c>
    </row>
    <row r="441" spans="1:5" x14ac:dyDescent="0.35">
      <c r="A441" s="1">
        <v>44825</v>
      </c>
      <c r="B441" t="s">
        <v>462</v>
      </c>
      <c r="D441" s="1">
        <v>44802</v>
      </c>
      <c r="E441" t="s">
        <v>1645</v>
      </c>
    </row>
    <row r="442" spans="1:5" x14ac:dyDescent="0.35">
      <c r="A442" s="1">
        <v>44826</v>
      </c>
      <c r="B442" t="s">
        <v>463</v>
      </c>
      <c r="D442" s="1">
        <v>44803</v>
      </c>
      <c r="E442" t="s">
        <v>1646</v>
      </c>
    </row>
    <row r="443" spans="1:5" x14ac:dyDescent="0.35">
      <c r="A443" s="1">
        <v>44827</v>
      </c>
      <c r="B443" t="s">
        <v>464</v>
      </c>
      <c r="D443" s="1">
        <v>44804</v>
      </c>
      <c r="E443" t="s">
        <v>1647</v>
      </c>
    </row>
    <row r="444" spans="1:5" x14ac:dyDescent="0.35">
      <c r="A444" s="1">
        <v>44830</v>
      </c>
      <c r="B444" t="s">
        <v>465</v>
      </c>
      <c r="D444" s="1">
        <v>44805</v>
      </c>
      <c r="E444" t="s">
        <v>1648</v>
      </c>
    </row>
    <row r="445" spans="1:5" x14ac:dyDescent="0.35">
      <c r="A445" s="1">
        <v>44831</v>
      </c>
      <c r="B445" t="s">
        <v>466</v>
      </c>
      <c r="D445" s="1">
        <v>44806</v>
      </c>
      <c r="E445" t="s">
        <v>1649</v>
      </c>
    </row>
    <row r="446" spans="1:5" x14ac:dyDescent="0.35">
      <c r="A446" s="1">
        <v>44832</v>
      </c>
      <c r="B446" t="s">
        <v>458</v>
      </c>
      <c r="D446" s="1">
        <v>44809</v>
      </c>
      <c r="E446" t="s">
        <v>1650</v>
      </c>
    </row>
    <row r="447" spans="1:5" x14ac:dyDescent="0.35">
      <c r="A447" s="1">
        <v>44833</v>
      </c>
      <c r="B447" t="s">
        <v>460</v>
      </c>
      <c r="D447" s="1">
        <v>44810</v>
      </c>
      <c r="E447" t="s">
        <v>1560</v>
      </c>
    </row>
    <row r="448" spans="1:5" x14ac:dyDescent="0.35">
      <c r="A448" s="1">
        <v>44834</v>
      </c>
      <c r="B448" t="s">
        <v>468</v>
      </c>
      <c r="D448" s="1">
        <v>44811</v>
      </c>
      <c r="E448" t="s">
        <v>1651</v>
      </c>
    </row>
    <row r="449" spans="1:5" x14ac:dyDescent="0.35">
      <c r="A449" s="1">
        <v>44837</v>
      </c>
      <c r="B449" t="s">
        <v>469</v>
      </c>
      <c r="D449" s="1">
        <v>44812</v>
      </c>
      <c r="E449" t="s">
        <v>1652</v>
      </c>
    </row>
    <row r="450" spans="1:5" x14ac:dyDescent="0.35">
      <c r="A450" s="1">
        <v>44838</v>
      </c>
      <c r="B450" t="s">
        <v>470</v>
      </c>
      <c r="D450" s="1">
        <v>44813</v>
      </c>
      <c r="E450" t="s">
        <v>1653</v>
      </c>
    </row>
    <row r="451" spans="1:5" x14ac:dyDescent="0.35">
      <c r="A451" s="1">
        <v>44839</v>
      </c>
      <c r="B451" t="s">
        <v>471</v>
      </c>
      <c r="D451" s="1">
        <v>44816</v>
      </c>
      <c r="E451" t="s">
        <v>1654</v>
      </c>
    </row>
    <row r="452" spans="1:5" x14ac:dyDescent="0.35">
      <c r="A452" s="1">
        <v>44840</v>
      </c>
      <c r="B452" t="s">
        <v>472</v>
      </c>
      <c r="D452" s="1">
        <v>44817</v>
      </c>
      <c r="E452" t="s">
        <v>1655</v>
      </c>
    </row>
    <row r="453" spans="1:5" x14ac:dyDescent="0.35">
      <c r="A453" s="1">
        <v>44841</v>
      </c>
      <c r="B453" t="s">
        <v>473</v>
      </c>
      <c r="D453" s="1">
        <v>44818</v>
      </c>
      <c r="E453" t="s">
        <v>1656</v>
      </c>
    </row>
    <row r="454" spans="1:5" x14ac:dyDescent="0.35">
      <c r="A454" s="1">
        <v>44844</v>
      </c>
      <c r="B454" t="s">
        <v>475</v>
      </c>
      <c r="D454" s="1">
        <v>44819</v>
      </c>
      <c r="E454" t="s">
        <v>1657</v>
      </c>
    </row>
    <row r="455" spans="1:5" x14ac:dyDescent="0.35">
      <c r="A455" s="1">
        <v>44845</v>
      </c>
      <c r="B455" t="s">
        <v>476</v>
      </c>
      <c r="D455" s="1">
        <v>44820</v>
      </c>
      <c r="E455" t="s">
        <v>1658</v>
      </c>
    </row>
    <row r="456" spans="1:5" x14ac:dyDescent="0.35">
      <c r="A456" s="1">
        <v>44846</v>
      </c>
      <c r="B456" t="s">
        <v>477</v>
      </c>
      <c r="D456" s="1">
        <v>44823</v>
      </c>
      <c r="E456" t="s">
        <v>1659</v>
      </c>
    </row>
    <row r="457" spans="1:5" x14ac:dyDescent="0.35">
      <c r="A457" s="1">
        <v>44847</v>
      </c>
      <c r="B457" t="s">
        <v>478</v>
      </c>
      <c r="D457" s="1">
        <v>44824</v>
      </c>
      <c r="E457" t="s">
        <v>1605</v>
      </c>
    </row>
    <row r="458" spans="1:5" x14ac:dyDescent="0.35">
      <c r="A458" s="1">
        <v>44848</v>
      </c>
      <c r="B458" t="s">
        <v>479</v>
      </c>
      <c r="D458" s="1">
        <v>44825</v>
      </c>
      <c r="E458" t="s">
        <v>1660</v>
      </c>
    </row>
    <row r="459" spans="1:5" x14ac:dyDescent="0.35">
      <c r="A459" s="1">
        <v>44851</v>
      </c>
      <c r="B459" t="s">
        <v>467</v>
      </c>
      <c r="D459" s="1">
        <v>44826</v>
      </c>
      <c r="E459" t="s">
        <v>1661</v>
      </c>
    </row>
    <row r="460" spans="1:5" x14ac:dyDescent="0.35">
      <c r="A460" s="1">
        <v>44852</v>
      </c>
      <c r="B460" t="s">
        <v>480</v>
      </c>
      <c r="D460" s="1">
        <v>44827</v>
      </c>
      <c r="E460" t="s">
        <v>1662</v>
      </c>
    </row>
    <row r="461" spans="1:5" x14ac:dyDescent="0.35">
      <c r="A461" s="1">
        <v>44853</v>
      </c>
      <c r="B461" t="s">
        <v>481</v>
      </c>
      <c r="D461" s="1">
        <v>44830</v>
      </c>
      <c r="E461" t="s">
        <v>1663</v>
      </c>
    </row>
    <row r="462" spans="1:5" x14ac:dyDescent="0.35">
      <c r="A462" s="1">
        <v>44854</v>
      </c>
      <c r="B462" t="s">
        <v>482</v>
      </c>
      <c r="D462" s="1">
        <v>44831</v>
      </c>
      <c r="E462" t="s">
        <v>1664</v>
      </c>
    </row>
    <row r="463" spans="1:5" x14ac:dyDescent="0.35">
      <c r="A463" s="1">
        <v>44855</v>
      </c>
      <c r="B463" t="s">
        <v>483</v>
      </c>
      <c r="D463" s="1">
        <v>44832</v>
      </c>
      <c r="E463" t="s">
        <v>1665</v>
      </c>
    </row>
    <row r="464" spans="1:5" x14ac:dyDescent="0.35">
      <c r="A464" s="1">
        <v>44858</v>
      </c>
      <c r="B464" t="s">
        <v>484</v>
      </c>
      <c r="D464" s="1">
        <v>44833</v>
      </c>
      <c r="E464" t="s">
        <v>1666</v>
      </c>
    </row>
    <row r="465" spans="1:5" x14ac:dyDescent="0.35">
      <c r="A465" s="1">
        <v>44859</v>
      </c>
      <c r="B465" t="s">
        <v>485</v>
      </c>
      <c r="D465" s="1">
        <v>44834</v>
      </c>
      <c r="E465" t="s">
        <v>1667</v>
      </c>
    </row>
    <row r="466" spans="1:5" x14ac:dyDescent="0.35">
      <c r="A466" s="1">
        <v>44860</v>
      </c>
      <c r="B466" t="s">
        <v>486</v>
      </c>
      <c r="D466" s="1">
        <v>44837</v>
      </c>
      <c r="E466" t="s">
        <v>1668</v>
      </c>
    </row>
    <row r="467" spans="1:5" x14ac:dyDescent="0.35">
      <c r="A467" s="1">
        <v>44861</v>
      </c>
      <c r="B467" t="s">
        <v>487</v>
      </c>
      <c r="D467" s="1">
        <v>44838</v>
      </c>
      <c r="E467" t="s">
        <v>1669</v>
      </c>
    </row>
    <row r="468" spans="1:5" x14ac:dyDescent="0.35">
      <c r="A468" s="1">
        <v>44862</v>
      </c>
      <c r="B468" t="s">
        <v>488</v>
      </c>
      <c r="D468" s="1">
        <v>44839</v>
      </c>
      <c r="E468" t="s">
        <v>1670</v>
      </c>
    </row>
    <row r="469" spans="1:5" x14ac:dyDescent="0.35">
      <c r="A469" s="1">
        <v>44865</v>
      </c>
      <c r="B469" t="s">
        <v>489</v>
      </c>
      <c r="D469" s="1">
        <v>44840</v>
      </c>
      <c r="E469" t="s">
        <v>1671</v>
      </c>
    </row>
    <row r="470" spans="1:5" x14ac:dyDescent="0.35">
      <c r="A470" s="1">
        <v>44866</v>
      </c>
      <c r="B470" t="s">
        <v>490</v>
      </c>
      <c r="D470" s="1">
        <v>44841</v>
      </c>
      <c r="E470" t="s">
        <v>1672</v>
      </c>
    </row>
    <row r="471" spans="1:5" x14ac:dyDescent="0.35">
      <c r="A471" s="1">
        <v>44867</v>
      </c>
      <c r="B471" t="s">
        <v>491</v>
      </c>
      <c r="D471" s="1">
        <v>44844</v>
      </c>
      <c r="E471" t="s">
        <v>1673</v>
      </c>
    </row>
    <row r="472" spans="1:5" x14ac:dyDescent="0.35">
      <c r="A472" s="1">
        <v>44868</v>
      </c>
      <c r="B472" t="s">
        <v>492</v>
      </c>
      <c r="D472" s="1">
        <v>44845</v>
      </c>
      <c r="E472" t="s">
        <v>1674</v>
      </c>
    </row>
    <row r="473" spans="1:5" x14ac:dyDescent="0.35">
      <c r="A473" s="1">
        <v>44869</v>
      </c>
      <c r="B473" t="s">
        <v>493</v>
      </c>
      <c r="D473" s="1">
        <v>44846</v>
      </c>
      <c r="E473" t="s">
        <v>1675</v>
      </c>
    </row>
    <row r="474" spans="1:5" x14ac:dyDescent="0.35">
      <c r="A474" s="1">
        <v>44872</v>
      </c>
      <c r="B474" t="s">
        <v>93</v>
      </c>
      <c r="D474" s="1">
        <v>44847</v>
      </c>
      <c r="E474" t="s">
        <v>1676</v>
      </c>
    </row>
    <row r="475" spans="1:5" x14ac:dyDescent="0.35">
      <c r="A475" s="1">
        <v>44873</v>
      </c>
      <c r="B475" t="s">
        <v>91</v>
      </c>
      <c r="D475" s="1">
        <v>44848</v>
      </c>
      <c r="E475" t="s">
        <v>1677</v>
      </c>
    </row>
    <row r="476" spans="1:5" x14ac:dyDescent="0.35">
      <c r="A476" s="1">
        <v>44874</v>
      </c>
      <c r="B476" t="s">
        <v>474</v>
      </c>
      <c r="D476" s="1">
        <v>44851</v>
      </c>
      <c r="E476" t="s">
        <v>1678</v>
      </c>
    </row>
    <row r="477" spans="1:5" x14ac:dyDescent="0.35">
      <c r="A477" s="1">
        <v>44875</v>
      </c>
      <c r="B477" t="s">
        <v>85</v>
      </c>
      <c r="D477" s="1">
        <v>44852</v>
      </c>
      <c r="E477" t="s">
        <v>1679</v>
      </c>
    </row>
    <row r="478" spans="1:5" x14ac:dyDescent="0.35">
      <c r="A478" s="1">
        <v>44876</v>
      </c>
      <c r="B478" t="s">
        <v>61</v>
      </c>
      <c r="D478" s="1">
        <v>44853</v>
      </c>
      <c r="E478" t="s">
        <v>1680</v>
      </c>
    </row>
    <row r="479" spans="1:5" x14ac:dyDescent="0.35">
      <c r="A479" s="1">
        <v>44879</v>
      </c>
      <c r="B479" t="s">
        <v>284</v>
      </c>
      <c r="D479" s="1">
        <v>44854</v>
      </c>
      <c r="E479" t="s">
        <v>1681</v>
      </c>
    </row>
    <row r="480" spans="1:5" x14ac:dyDescent="0.35">
      <c r="A480" s="1">
        <v>44880</v>
      </c>
      <c r="B480" t="s">
        <v>160</v>
      </c>
      <c r="D480" s="1">
        <v>44855</v>
      </c>
      <c r="E480" t="s">
        <v>1682</v>
      </c>
    </row>
    <row r="481" spans="1:5" x14ac:dyDescent="0.35">
      <c r="A481" s="1">
        <v>44881</v>
      </c>
      <c r="B481" t="s">
        <v>494</v>
      </c>
      <c r="D481" s="1">
        <v>44858</v>
      </c>
      <c r="E481" t="s">
        <v>1683</v>
      </c>
    </row>
    <row r="482" spans="1:5" x14ac:dyDescent="0.35">
      <c r="A482" s="1">
        <v>44882</v>
      </c>
      <c r="B482" t="s">
        <v>254</v>
      </c>
      <c r="D482" s="1">
        <v>44859</v>
      </c>
      <c r="E482" t="s">
        <v>1684</v>
      </c>
    </row>
    <row r="483" spans="1:5" x14ac:dyDescent="0.35">
      <c r="A483" s="1">
        <v>44883</v>
      </c>
      <c r="B483" t="s">
        <v>252</v>
      </c>
      <c r="D483" s="1">
        <v>44860</v>
      </c>
      <c r="E483" t="s">
        <v>1685</v>
      </c>
    </row>
    <row r="484" spans="1:5" x14ac:dyDescent="0.35">
      <c r="A484" s="1">
        <v>44886</v>
      </c>
      <c r="B484" t="s">
        <v>495</v>
      </c>
      <c r="D484" s="1">
        <v>44861</v>
      </c>
      <c r="E484" t="s">
        <v>1686</v>
      </c>
    </row>
    <row r="485" spans="1:5" x14ac:dyDescent="0.35">
      <c r="A485" s="1">
        <v>44887</v>
      </c>
      <c r="B485" t="s">
        <v>497</v>
      </c>
      <c r="D485" s="1">
        <v>44862</v>
      </c>
      <c r="E485" t="s">
        <v>1687</v>
      </c>
    </row>
    <row r="486" spans="1:5" x14ac:dyDescent="0.35">
      <c r="A486" s="1">
        <v>44888</v>
      </c>
      <c r="B486" t="s">
        <v>496</v>
      </c>
      <c r="D486" s="1">
        <v>44865</v>
      </c>
      <c r="E486" t="s">
        <v>1688</v>
      </c>
    </row>
    <row r="487" spans="1:5" x14ac:dyDescent="0.35">
      <c r="A487" s="1">
        <v>44890</v>
      </c>
      <c r="B487" t="s">
        <v>498</v>
      </c>
      <c r="D487" s="1">
        <v>44866</v>
      </c>
      <c r="E487" t="s">
        <v>1677</v>
      </c>
    </row>
    <row r="488" spans="1:5" x14ac:dyDescent="0.35">
      <c r="A488" s="1">
        <v>44893</v>
      </c>
      <c r="B488" t="s">
        <v>99</v>
      </c>
      <c r="D488" s="1">
        <v>44867</v>
      </c>
      <c r="E488" t="s">
        <v>1689</v>
      </c>
    </row>
    <row r="489" spans="1:5" x14ac:dyDescent="0.35">
      <c r="A489" s="1">
        <v>44894</v>
      </c>
      <c r="B489" t="s">
        <v>499</v>
      </c>
      <c r="D489" s="1">
        <v>44868</v>
      </c>
      <c r="E489" t="s">
        <v>1690</v>
      </c>
    </row>
    <row r="490" spans="1:5" x14ac:dyDescent="0.35">
      <c r="A490" s="1">
        <v>44895</v>
      </c>
      <c r="B490" t="s">
        <v>500</v>
      </c>
      <c r="D490" s="1">
        <v>44869</v>
      </c>
      <c r="E490" t="s">
        <v>1691</v>
      </c>
    </row>
    <row r="491" spans="1:5" x14ac:dyDescent="0.35">
      <c r="A491" s="1">
        <v>44896</v>
      </c>
      <c r="B491" t="s">
        <v>223</v>
      </c>
      <c r="D491" s="1">
        <v>44872</v>
      </c>
      <c r="E491" t="s">
        <v>1692</v>
      </c>
    </row>
    <row r="492" spans="1:5" x14ac:dyDescent="0.35">
      <c r="A492" s="1">
        <v>44897</v>
      </c>
      <c r="B492" t="s">
        <v>227</v>
      </c>
      <c r="D492" s="1">
        <v>44873</v>
      </c>
      <c r="E492" t="s">
        <v>1693</v>
      </c>
    </row>
    <row r="493" spans="1:5" x14ac:dyDescent="0.35">
      <c r="A493" s="1">
        <v>44900</v>
      </c>
      <c r="B493" t="s">
        <v>292</v>
      </c>
      <c r="D493" s="1">
        <v>44874</v>
      </c>
      <c r="E493" t="s">
        <v>1694</v>
      </c>
    </row>
    <row r="494" spans="1:5" x14ac:dyDescent="0.35">
      <c r="A494" s="1">
        <v>44901</v>
      </c>
      <c r="B494" t="s">
        <v>113</v>
      </c>
      <c r="D494" s="1">
        <v>44875</v>
      </c>
      <c r="E494" t="s">
        <v>1695</v>
      </c>
    </row>
    <row r="495" spans="1:5" x14ac:dyDescent="0.35">
      <c r="A495" s="1">
        <v>44902</v>
      </c>
      <c r="B495" t="s">
        <v>295</v>
      </c>
      <c r="D495" s="1">
        <v>44876</v>
      </c>
      <c r="E495" t="s">
        <v>1696</v>
      </c>
    </row>
    <row r="496" spans="1:5" x14ac:dyDescent="0.35">
      <c r="A496" s="1">
        <v>44903</v>
      </c>
      <c r="B496" t="s">
        <v>267</v>
      </c>
      <c r="D496" s="1">
        <v>44879</v>
      </c>
      <c r="E496" t="s">
        <v>1697</v>
      </c>
    </row>
    <row r="497" spans="1:5" x14ac:dyDescent="0.35">
      <c r="A497" s="1">
        <v>44904</v>
      </c>
      <c r="B497" t="s">
        <v>264</v>
      </c>
      <c r="D497" s="1">
        <v>44880</v>
      </c>
      <c r="E497" t="s">
        <v>1698</v>
      </c>
    </row>
    <row r="498" spans="1:5" x14ac:dyDescent="0.35">
      <c r="A498" s="1">
        <v>44907</v>
      </c>
      <c r="B498" t="s">
        <v>501</v>
      </c>
      <c r="D498" s="1">
        <v>44881</v>
      </c>
      <c r="E498" t="s">
        <v>1548</v>
      </c>
    </row>
    <row r="499" spans="1:5" x14ac:dyDescent="0.35">
      <c r="A499" s="1">
        <v>44908</v>
      </c>
      <c r="B499" t="s">
        <v>225</v>
      </c>
      <c r="D499" s="1">
        <v>44882</v>
      </c>
      <c r="E499" t="s">
        <v>1700</v>
      </c>
    </row>
    <row r="500" spans="1:5" x14ac:dyDescent="0.35">
      <c r="A500" s="1">
        <v>44909</v>
      </c>
      <c r="B500" t="s">
        <v>502</v>
      </c>
      <c r="D500" s="1">
        <v>44883</v>
      </c>
      <c r="E500" t="s">
        <v>1701</v>
      </c>
    </row>
    <row r="501" spans="1:5" x14ac:dyDescent="0.35">
      <c r="A501" s="1">
        <v>44910</v>
      </c>
      <c r="B501" t="s">
        <v>287</v>
      </c>
      <c r="D501" s="1">
        <v>44886</v>
      </c>
      <c r="E501" t="s">
        <v>1702</v>
      </c>
    </row>
    <row r="502" spans="1:5" x14ac:dyDescent="0.35">
      <c r="A502" s="1">
        <v>44911</v>
      </c>
      <c r="B502" t="s">
        <v>438</v>
      </c>
      <c r="D502" s="1">
        <v>44887</v>
      </c>
      <c r="E502" t="s">
        <v>1703</v>
      </c>
    </row>
    <row r="503" spans="1:5" x14ac:dyDescent="0.35">
      <c r="A503" s="1">
        <v>44914</v>
      </c>
      <c r="B503" t="s">
        <v>212</v>
      </c>
      <c r="D503" s="1">
        <v>44888</v>
      </c>
      <c r="E503" t="s">
        <v>1704</v>
      </c>
    </row>
    <row r="504" spans="1:5" x14ac:dyDescent="0.35">
      <c r="A504" s="1">
        <v>44915</v>
      </c>
      <c r="B504" t="s">
        <v>222</v>
      </c>
      <c r="D504" s="1">
        <v>44889</v>
      </c>
      <c r="E504" t="s">
        <v>1705</v>
      </c>
    </row>
    <row r="505" spans="1:5" x14ac:dyDescent="0.35">
      <c r="A505" s="1">
        <v>44916</v>
      </c>
      <c r="B505" t="s">
        <v>222</v>
      </c>
      <c r="D505" s="1">
        <v>44890</v>
      </c>
      <c r="E505" t="s">
        <v>1706</v>
      </c>
    </row>
    <row r="506" spans="1:5" x14ac:dyDescent="0.35">
      <c r="A506" s="1">
        <v>44917</v>
      </c>
      <c r="B506" t="s">
        <v>290</v>
      </c>
      <c r="D506" s="1">
        <v>44893</v>
      </c>
      <c r="E506" t="s">
        <v>1707</v>
      </c>
    </row>
    <row r="507" spans="1:5" x14ac:dyDescent="0.35">
      <c r="A507" s="1">
        <v>44918</v>
      </c>
      <c r="B507" t="s">
        <v>227</v>
      </c>
      <c r="D507" s="1">
        <v>44894</v>
      </c>
      <c r="E507" t="s">
        <v>1708</v>
      </c>
    </row>
    <row r="508" spans="1:5" x14ac:dyDescent="0.35">
      <c r="A508" s="1">
        <v>44922</v>
      </c>
      <c r="B508" t="s">
        <v>503</v>
      </c>
      <c r="D508" s="1">
        <v>44895</v>
      </c>
      <c r="E508" t="s">
        <v>1709</v>
      </c>
    </row>
    <row r="509" spans="1:5" x14ac:dyDescent="0.35">
      <c r="A509" s="1">
        <v>44923</v>
      </c>
      <c r="B509" t="s">
        <v>504</v>
      </c>
      <c r="D509" s="1">
        <v>44896</v>
      </c>
      <c r="E509" t="s">
        <v>1710</v>
      </c>
    </row>
    <row r="510" spans="1:5" x14ac:dyDescent="0.35">
      <c r="A510" s="1">
        <v>44924</v>
      </c>
      <c r="B510" t="s">
        <v>505</v>
      </c>
      <c r="D510" s="1">
        <v>44897</v>
      </c>
      <c r="E510" t="s">
        <v>1711</v>
      </c>
    </row>
    <row r="511" spans="1:5" x14ac:dyDescent="0.35">
      <c r="A511" s="1">
        <v>44925</v>
      </c>
      <c r="B511" t="s">
        <v>403</v>
      </c>
      <c r="D511" s="1">
        <v>44900</v>
      </c>
      <c r="E511" t="s">
        <v>1699</v>
      </c>
    </row>
    <row r="512" spans="1:5" x14ac:dyDescent="0.35">
      <c r="A512" s="1">
        <v>44929</v>
      </c>
      <c r="B512" t="s">
        <v>506</v>
      </c>
      <c r="D512" s="1">
        <v>44901</v>
      </c>
      <c r="E512" t="s">
        <v>1633</v>
      </c>
    </row>
    <row r="513" spans="1:5" x14ac:dyDescent="0.35">
      <c r="A513" s="1">
        <v>44930</v>
      </c>
      <c r="B513" t="s">
        <v>507</v>
      </c>
      <c r="D513" s="1">
        <v>44902</v>
      </c>
      <c r="E513" t="s">
        <v>1712</v>
      </c>
    </row>
    <row r="514" spans="1:5" x14ac:dyDescent="0.35">
      <c r="A514" s="1">
        <v>44931</v>
      </c>
      <c r="B514" t="s">
        <v>43</v>
      </c>
      <c r="D514" s="1">
        <v>44903</v>
      </c>
      <c r="E514" t="s">
        <v>1713</v>
      </c>
    </row>
    <row r="515" spans="1:5" x14ac:dyDescent="0.35">
      <c r="A515" s="1">
        <v>44932</v>
      </c>
      <c r="B515" t="s">
        <v>508</v>
      </c>
      <c r="D515" s="1">
        <v>44904</v>
      </c>
      <c r="E515" t="s">
        <v>1714</v>
      </c>
    </row>
    <row r="516" spans="1:5" x14ac:dyDescent="0.35">
      <c r="A516" s="1">
        <v>44935</v>
      </c>
      <c r="B516" t="s">
        <v>509</v>
      </c>
      <c r="D516" s="1">
        <v>44907</v>
      </c>
      <c r="E516" t="s">
        <v>1715</v>
      </c>
    </row>
    <row r="517" spans="1:5" x14ac:dyDescent="0.35">
      <c r="A517" s="1">
        <v>44936</v>
      </c>
      <c r="B517" t="s">
        <v>510</v>
      </c>
      <c r="D517" s="1">
        <v>44908</v>
      </c>
      <c r="E517" t="s">
        <v>1716</v>
      </c>
    </row>
    <row r="518" spans="1:5" x14ac:dyDescent="0.35">
      <c r="A518" s="1">
        <v>44937</v>
      </c>
      <c r="B518" t="s">
        <v>511</v>
      </c>
      <c r="D518" s="1">
        <v>44909</v>
      </c>
      <c r="E518" t="s">
        <v>1718</v>
      </c>
    </row>
    <row r="519" spans="1:5" x14ac:dyDescent="0.35">
      <c r="A519" s="1">
        <v>44938</v>
      </c>
      <c r="B519" t="s">
        <v>7</v>
      </c>
      <c r="D519" s="1">
        <v>44910</v>
      </c>
      <c r="E519" t="s">
        <v>1425</v>
      </c>
    </row>
    <row r="520" spans="1:5" x14ac:dyDescent="0.35">
      <c r="A520" s="1">
        <v>44939</v>
      </c>
      <c r="B520" t="s">
        <v>368</v>
      </c>
      <c r="D520" s="1">
        <v>44911</v>
      </c>
      <c r="E520" t="s">
        <v>1720</v>
      </c>
    </row>
    <row r="521" spans="1:5" x14ac:dyDescent="0.35">
      <c r="A521" s="1">
        <v>44943</v>
      </c>
      <c r="B521" t="s">
        <v>353</v>
      </c>
      <c r="D521" s="1">
        <v>44914</v>
      </c>
      <c r="E521" t="s">
        <v>1721</v>
      </c>
    </row>
    <row r="522" spans="1:5" x14ac:dyDescent="0.35">
      <c r="A522" s="1">
        <v>44944</v>
      </c>
      <c r="B522" t="s">
        <v>512</v>
      </c>
      <c r="D522" s="1">
        <v>44915</v>
      </c>
      <c r="E522" t="s">
        <v>1722</v>
      </c>
    </row>
    <row r="523" spans="1:5" x14ac:dyDescent="0.35">
      <c r="A523" s="1">
        <v>44945</v>
      </c>
      <c r="B523" t="s">
        <v>514</v>
      </c>
      <c r="D523" s="1">
        <v>44916</v>
      </c>
      <c r="E523" t="s">
        <v>1723</v>
      </c>
    </row>
    <row r="524" spans="1:5" x14ac:dyDescent="0.35">
      <c r="A524" s="1">
        <v>44946</v>
      </c>
      <c r="B524" t="s">
        <v>515</v>
      </c>
      <c r="D524" s="1">
        <v>44917</v>
      </c>
      <c r="E524" t="s">
        <v>1422</v>
      </c>
    </row>
    <row r="525" spans="1:5" x14ac:dyDescent="0.35">
      <c r="A525" s="1">
        <v>44949</v>
      </c>
      <c r="B525" t="s">
        <v>374</v>
      </c>
      <c r="D525" s="1">
        <v>44918</v>
      </c>
      <c r="E525" t="s">
        <v>1724</v>
      </c>
    </row>
    <row r="526" spans="1:5" x14ac:dyDescent="0.35">
      <c r="A526" s="1">
        <v>44950</v>
      </c>
      <c r="B526" t="s">
        <v>355</v>
      </c>
      <c r="D526" s="1">
        <v>44921</v>
      </c>
      <c r="E526" t="s">
        <v>1497</v>
      </c>
    </row>
    <row r="527" spans="1:5" x14ac:dyDescent="0.35">
      <c r="A527" s="1">
        <v>44951</v>
      </c>
      <c r="B527" t="s">
        <v>516</v>
      </c>
      <c r="D527" s="1">
        <v>44922</v>
      </c>
      <c r="E527" t="s">
        <v>1725</v>
      </c>
    </row>
    <row r="528" spans="1:5" x14ac:dyDescent="0.35">
      <c r="A528" s="1">
        <v>44952</v>
      </c>
      <c r="B528" t="s">
        <v>517</v>
      </c>
      <c r="D528" s="1">
        <v>44923</v>
      </c>
      <c r="E528" t="s">
        <v>1498</v>
      </c>
    </row>
    <row r="529" spans="1:5" x14ac:dyDescent="0.35">
      <c r="A529" s="1">
        <v>44953</v>
      </c>
      <c r="B529" t="s">
        <v>357</v>
      </c>
      <c r="D529" s="1">
        <v>44924</v>
      </c>
      <c r="E529" t="s">
        <v>1726</v>
      </c>
    </row>
    <row r="530" spans="1:5" x14ac:dyDescent="0.35">
      <c r="A530" s="1">
        <v>44956</v>
      </c>
      <c r="B530" t="s">
        <v>373</v>
      </c>
      <c r="D530" s="1">
        <v>44925</v>
      </c>
      <c r="E530" t="s">
        <v>1727</v>
      </c>
    </row>
    <row r="531" spans="1:5" x14ac:dyDescent="0.35">
      <c r="A531" s="1">
        <v>44957</v>
      </c>
      <c r="B531" t="s">
        <v>518</v>
      </c>
      <c r="D531" s="1">
        <v>44928</v>
      </c>
      <c r="E531" t="s">
        <v>1439</v>
      </c>
    </row>
    <row r="532" spans="1:5" x14ac:dyDescent="0.35">
      <c r="A532" s="1">
        <v>44958</v>
      </c>
      <c r="B532" t="s">
        <v>519</v>
      </c>
      <c r="D532" s="1">
        <v>44929</v>
      </c>
      <c r="E532" t="s">
        <v>1274</v>
      </c>
    </row>
    <row r="533" spans="1:5" x14ac:dyDescent="0.35">
      <c r="A533" s="1">
        <v>44959</v>
      </c>
      <c r="B533" t="s">
        <v>520</v>
      </c>
      <c r="D533" s="1">
        <v>44930</v>
      </c>
      <c r="E533" t="s">
        <v>1244</v>
      </c>
    </row>
    <row r="534" spans="1:5" x14ac:dyDescent="0.35">
      <c r="A534" s="1">
        <v>44960</v>
      </c>
      <c r="B534" t="s">
        <v>37</v>
      </c>
      <c r="D534" s="1">
        <v>44931</v>
      </c>
      <c r="E534" t="s">
        <v>1719</v>
      </c>
    </row>
    <row r="535" spans="1:5" x14ac:dyDescent="0.35">
      <c r="A535" s="1">
        <v>44963</v>
      </c>
      <c r="B535" t="s">
        <v>157</v>
      </c>
      <c r="D535" s="1">
        <v>44932</v>
      </c>
      <c r="E535" t="s">
        <v>1728</v>
      </c>
    </row>
    <row r="536" spans="1:5" x14ac:dyDescent="0.35">
      <c r="A536" s="1">
        <v>44964</v>
      </c>
      <c r="B536" t="s">
        <v>522</v>
      </c>
      <c r="D536" s="1">
        <v>44935</v>
      </c>
      <c r="E536" t="s">
        <v>1729</v>
      </c>
    </row>
    <row r="537" spans="1:5" x14ac:dyDescent="0.35">
      <c r="A537" s="1">
        <v>44965</v>
      </c>
      <c r="B537" t="s">
        <v>155</v>
      </c>
      <c r="D537" s="1">
        <v>44936</v>
      </c>
      <c r="E537" t="s">
        <v>1502</v>
      </c>
    </row>
    <row r="538" spans="1:5" x14ac:dyDescent="0.35">
      <c r="A538" s="1">
        <v>44966</v>
      </c>
      <c r="B538" t="s">
        <v>157</v>
      </c>
      <c r="D538" s="1">
        <v>44937</v>
      </c>
      <c r="E538" t="s">
        <v>1254</v>
      </c>
    </row>
    <row r="539" spans="1:5" x14ac:dyDescent="0.35">
      <c r="A539" s="1">
        <v>44967</v>
      </c>
      <c r="B539" t="s">
        <v>523</v>
      </c>
      <c r="D539" s="1">
        <v>44938</v>
      </c>
      <c r="E539" t="s">
        <v>1730</v>
      </c>
    </row>
    <row r="540" spans="1:5" x14ac:dyDescent="0.35">
      <c r="A540" s="1">
        <v>44970</v>
      </c>
      <c r="B540" t="s">
        <v>401</v>
      </c>
      <c r="D540" s="1">
        <v>44939</v>
      </c>
      <c r="E540" t="s">
        <v>1419</v>
      </c>
    </row>
    <row r="541" spans="1:5" x14ac:dyDescent="0.35">
      <c r="A541" s="1">
        <v>44971</v>
      </c>
      <c r="B541" t="s">
        <v>149</v>
      </c>
      <c r="D541" s="1">
        <v>44942</v>
      </c>
      <c r="E541" t="s">
        <v>1271</v>
      </c>
    </row>
    <row r="542" spans="1:5" x14ac:dyDescent="0.35">
      <c r="A542" s="1">
        <v>44972</v>
      </c>
      <c r="B542" t="s">
        <v>525</v>
      </c>
      <c r="D542" s="1">
        <v>44943</v>
      </c>
      <c r="E542" t="s">
        <v>1731</v>
      </c>
    </row>
    <row r="543" spans="1:5" x14ac:dyDescent="0.35">
      <c r="A543" s="1">
        <v>44973</v>
      </c>
      <c r="B543" t="s">
        <v>39</v>
      </c>
      <c r="D543" s="1">
        <v>44944</v>
      </c>
      <c r="E543" t="s">
        <v>1732</v>
      </c>
    </row>
    <row r="544" spans="1:5" x14ac:dyDescent="0.35">
      <c r="A544" s="1">
        <v>44974</v>
      </c>
      <c r="B544" t="s">
        <v>408</v>
      </c>
      <c r="D544" s="1">
        <v>44945</v>
      </c>
      <c r="E544" t="s">
        <v>1733</v>
      </c>
    </row>
    <row r="545" spans="1:5" x14ac:dyDescent="0.35">
      <c r="A545" s="1">
        <v>44978</v>
      </c>
      <c r="B545" t="s">
        <v>189</v>
      </c>
      <c r="D545" s="1">
        <v>44946</v>
      </c>
      <c r="E545" t="s">
        <v>1383</v>
      </c>
    </row>
    <row r="546" spans="1:5" x14ac:dyDescent="0.35">
      <c r="A546" s="1">
        <v>44979</v>
      </c>
      <c r="B546" t="s">
        <v>526</v>
      </c>
      <c r="D546" s="1">
        <v>44949</v>
      </c>
      <c r="E546" t="s">
        <v>1445</v>
      </c>
    </row>
    <row r="547" spans="1:5" x14ac:dyDescent="0.35">
      <c r="A547" s="1">
        <v>44980</v>
      </c>
      <c r="B547" t="s">
        <v>298</v>
      </c>
      <c r="D547" s="1">
        <v>44950</v>
      </c>
      <c r="E547" t="s">
        <v>1734</v>
      </c>
    </row>
    <row r="548" spans="1:5" x14ac:dyDescent="0.35">
      <c r="A548" s="1">
        <v>44981</v>
      </c>
      <c r="B548" t="s">
        <v>262</v>
      </c>
      <c r="D548" s="1">
        <v>44951</v>
      </c>
      <c r="E548" t="s">
        <v>1411</v>
      </c>
    </row>
    <row r="549" spans="1:5" x14ac:dyDescent="0.35">
      <c r="A549" s="1">
        <v>44984</v>
      </c>
      <c r="B549" t="s">
        <v>271</v>
      </c>
      <c r="D549" s="1">
        <v>44952</v>
      </c>
      <c r="E549" t="s">
        <v>1735</v>
      </c>
    </row>
    <row r="550" spans="1:5" x14ac:dyDescent="0.35">
      <c r="A550" s="1">
        <v>44985</v>
      </c>
      <c r="B550" t="s">
        <v>313</v>
      </c>
      <c r="D550" s="1">
        <v>44953</v>
      </c>
      <c r="E550" t="s">
        <v>1280</v>
      </c>
    </row>
    <row r="551" spans="1:5" x14ac:dyDescent="0.35">
      <c r="A551" s="1">
        <v>44986</v>
      </c>
      <c r="B551" t="s">
        <v>528</v>
      </c>
      <c r="D551" s="1">
        <v>44956</v>
      </c>
      <c r="E551" t="s">
        <v>1736</v>
      </c>
    </row>
    <row r="552" spans="1:5" x14ac:dyDescent="0.35">
      <c r="A552" s="1">
        <v>44987</v>
      </c>
      <c r="B552" t="s">
        <v>529</v>
      </c>
      <c r="D552" s="1">
        <v>44957</v>
      </c>
      <c r="E552" t="s">
        <v>1507</v>
      </c>
    </row>
    <row r="553" spans="1:5" x14ac:dyDescent="0.35">
      <c r="A553" s="1">
        <v>44988</v>
      </c>
      <c r="B553" t="s">
        <v>530</v>
      </c>
      <c r="D553" s="1">
        <v>44958</v>
      </c>
      <c r="E553" t="s">
        <v>1737</v>
      </c>
    </row>
    <row r="554" spans="1:5" x14ac:dyDescent="0.35">
      <c r="A554" s="1">
        <v>44991</v>
      </c>
      <c r="B554" t="s">
        <v>411</v>
      </c>
      <c r="D554" s="1">
        <v>44959</v>
      </c>
      <c r="E554" t="s">
        <v>1738</v>
      </c>
    </row>
    <row r="555" spans="1:5" x14ac:dyDescent="0.35">
      <c r="A555" s="1">
        <v>44992</v>
      </c>
      <c r="B555" t="s">
        <v>225</v>
      </c>
      <c r="D555" s="1">
        <v>44960</v>
      </c>
      <c r="E555" t="s">
        <v>1355</v>
      </c>
    </row>
    <row r="556" spans="1:5" x14ac:dyDescent="0.35">
      <c r="A556" s="1">
        <v>44993</v>
      </c>
      <c r="B556" t="s">
        <v>299</v>
      </c>
      <c r="D556" s="1">
        <v>44963</v>
      </c>
      <c r="E556" t="s">
        <v>1739</v>
      </c>
    </row>
    <row r="557" spans="1:5" x14ac:dyDescent="0.35">
      <c r="A557" s="1">
        <v>44994</v>
      </c>
      <c r="B557" t="s">
        <v>26</v>
      </c>
      <c r="D557" s="1">
        <v>44964</v>
      </c>
      <c r="E557" t="s">
        <v>1740</v>
      </c>
    </row>
    <row r="558" spans="1:5" x14ac:dyDescent="0.35">
      <c r="A558" s="1">
        <v>44995</v>
      </c>
      <c r="B558" t="s">
        <v>524</v>
      </c>
      <c r="D558" s="1">
        <v>44965</v>
      </c>
      <c r="E558" t="s">
        <v>1741</v>
      </c>
    </row>
    <row r="559" spans="1:5" x14ac:dyDescent="0.35">
      <c r="A559" s="1">
        <v>44998</v>
      </c>
      <c r="B559" t="s">
        <v>336</v>
      </c>
      <c r="D559" s="1">
        <v>44966</v>
      </c>
      <c r="E559" t="s">
        <v>1742</v>
      </c>
    </row>
    <row r="560" spans="1:5" x14ac:dyDescent="0.35">
      <c r="A560" s="1">
        <v>44999</v>
      </c>
      <c r="B560" t="s">
        <v>531</v>
      </c>
      <c r="D560" s="1">
        <v>44967</v>
      </c>
      <c r="E560" t="s">
        <v>1743</v>
      </c>
    </row>
    <row r="561" spans="1:5" x14ac:dyDescent="0.35">
      <c r="A561" s="1">
        <v>45000</v>
      </c>
      <c r="B561" t="s">
        <v>532</v>
      </c>
      <c r="D561" s="1">
        <v>44970</v>
      </c>
      <c r="E561" t="s">
        <v>1470</v>
      </c>
    </row>
    <row r="562" spans="1:5" x14ac:dyDescent="0.35">
      <c r="A562" s="1">
        <v>45001</v>
      </c>
      <c r="B562" t="s">
        <v>533</v>
      </c>
      <c r="D562" s="1">
        <v>44971</v>
      </c>
      <c r="E562" t="s">
        <v>1744</v>
      </c>
    </row>
    <row r="563" spans="1:5" x14ac:dyDescent="0.35">
      <c r="A563" s="1">
        <v>45002</v>
      </c>
      <c r="B563" t="s">
        <v>534</v>
      </c>
      <c r="D563" s="1">
        <v>44972</v>
      </c>
      <c r="E563" t="s">
        <v>1745</v>
      </c>
    </row>
    <row r="564" spans="1:5" x14ac:dyDescent="0.35">
      <c r="A564" s="1">
        <v>45005</v>
      </c>
      <c r="B564" t="s">
        <v>535</v>
      </c>
      <c r="D564" s="1">
        <v>44973</v>
      </c>
      <c r="E564" t="s">
        <v>1717</v>
      </c>
    </row>
    <row r="565" spans="1:5" x14ac:dyDescent="0.35">
      <c r="A565" s="1">
        <v>45006</v>
      </c>
      <c r="B565" t="s">
        <v>371</v>
      </c>
      <c r="D565" s="1">
        <v>44974</v>
      </c>
      <c r="E565" t="s">
        <v>1746</v>
      </c>
    </row>
    <row r="566" spans="1:5" x14ac:dyDescent="0.35">
      <c r="A566" s="1">
        <v>45007</v>
      </c>
      <c r="B566" t="s">
        <v>537</v>
      </c>
      <c r="D566" s="1">
        <v>44977</v>
      </c>
      <c r="E566" t="s">
        <v>1459</v>
      </c>
    </row>
    <row r="567" spans="1:5" x14ac:dyDescent="0.35">
      <c r="A567" s="1">
        <v>45008</v>
      </c>
      <c r="B567" t="s">
        <v>538</v>
      </c>
      <c r="D567" s="1">
        <v>44978</v>
      </c>
      <c r="E567" t="s">
        <v>1509</v>
      </c>
    </row>
    <row r="568" spans="1:5" x14ac:dyDescent="0.35">
      <c r="A568" s="1">
        <v>45009</v>
      </c>
      <c r="B568" t="s">
        <v>539</v>
      </c>
      <c r="D568" s="1">
        <v>44979</v>
      </c>
      <c r="E568" t="s">
        <v>1251</v>
      </c>
    </row>
    <row r="569" spans="1:5" x14ac:dyDescent="0.35">
      <c r="A569" s="1">
        <v>45012</v>
      </c>
      <c r="B569" t="s">
        <v>540</v>
      </c>
      <c r="D569" s="1">
        <v>44980</v>
      </c>
      <c r="E569" t="s">
        <v>1747</v>
      </c>
    </row>
    <row r="570" spans="1:5" x14ac:dyDescent="0.35">
      <c r="A570" s="1">
        <v>45013</v>
      </c>
      <c r="B570" t="s">
        <v>541</v>
      </c>
      <c r="D570" s="1">
        <v>44981</v>
      </c>
      <c r="E570" t="s">
        <v>1748</v>
      </c>
    </row>
    <row r="571" spans="1:5" x14ac:dyDescent="0.35">
      <c r="A571" s="1">
        <v>45014</v>
      </c>
      <c r="B571" t="s">
        <v>542</v>
      </c>
      <c r="D571" s="1">
        <v>44984</v>
      </c>
      <c r="E571" t="s">
        <v>1749</v>
      </c>
    </row>
    <row r="572" spans="1:5" x14ac:dyDescent="0.35">
      <c r="A572" s="1">
        <v>45015</v>
      </c>
      <c r="B572" t="s">
        <v>543</v>
      </c>
      <c r="D572" s="1">
        <v>44985</v>
      </c>
      <c r="E572" t="s">
        <v>1750</v>
      </c>
    </row>
    <row r="573" spans="1:5" x14ac:dyDescent="0.35">
      <c r="A573" s="1">
        <v>45016</v>
      </c>
      <c r="B573" t="s">
        <v>544</v>
      </c>
      <c r="D573" s="1">
        <v>44986</v>
      </c>
      <c r="E573" t="s">
        <v>1751</v>
      </c>
    </row>
    <row r="574" spans="1:5" x14ac:dyDescent="0.35">
      <c r="A574" s="1">
        <v>45019</v>
      </c>
      <c r="B574" t="s">
        <v>545</v>
      </c>
      <c r="D574" s="1">
        <v>44987</v>
      </c>
      <c r="E574" t="s">
        <v>1752</v>
      </c>
    </row>
    <row r="575" spans="1:5" x14ac:dyDescent="0.35">
      <c r="A575" s="1">
        <v>45020</v>
      </c>
      <c r="B575" t="s">
        <v>546</v>
      </c>
      <c r="D575" s="1">
        <v>44988</v>
      </c>
      <c r="E575" t="s">
        <v>1753</v>
      </c>
    </row>
    <row r="576" spans="1:5" x14ac:dyDescent="0.35">
      <c r="A576" s="1">
        <v>45021</v>
      </c>
      <c r="B576" t="s">
        <v>547</v>
      </c>
      <c r="D576" s="1">
        <v>44991</v>
      </c>
      <c r="E576" t="s">
        <v>1754</v>
      </c>
    </row>
    <row r="577" spans="1:5" x14ac:dyDescent="0.35">
      <c r="A577" s="1">
        <v>45022</v>
      </c>
      <c r="B577" t="s">
        <v>548</v>
      </c>
      <c r="D577" s="1">
        <v>44992</v>
      </c>
      <c r="E577" t="s">
        <v>1755</v>
      </c>
    </row>
    <row r="578" spans="1:5" x14ac:dyDescent="0.35">
      <c r="A578" s="1">
        <v>45026</v>
      </c>
      <c r="B578" t="s">
        <v>550</v>
      </c>
      <c r="D578" s="1">
        <v>44993</v>
      </c>
      <c r="E578" t="s">
        <v>1756</v>
      </c>
    </row>
    <row r="579" spans="1:5" x14ac:dyDescent="0.35">
      <c r="A579" s="1">
        <v>45027</v>
      </c>
      <c r="B579" t="s">
        <v>551</v>
      </c>
      <c r="D579" s="1">
        <v>44994</v>
      </c>
      <c r="E579" t="s">
        <v>1757</v>
      </c>
    </row>
    <row r="580" spans="1:5" x14ac:dyDescent="0.35">
      <c r="A580" s="1">
        <v>45028</v>
      </c>
      <c r="B580" t="s">
        <v>553</v>
      </c>
      <c r="D580" s="1">
        <v>44995</v>
      </c>
      <c r="E580" t="s">
        <v>1758</v>
      </c>
    </row>
    <row r="581" spans="1:5" x14ac:dyDescent="0.35">
      <c r="A581" s="1">
        <v>45029</v>
      </c>
      <c r="B581" t="s">
        <v>555</v>
      </c>
      <c r="D581" s="1">
        <v>44998</v>
      </c>
      <c r="E581" t="s">
        <v>1366</v>
      </c>
    </row>
    <row r="582" spans="1:5" x14ac:dyDescent="0.35">
      <c r="A582" s="1">
        <v>45030</v>
      </c>
      <c r="B582" t="s">
        <v>556</v>
      </c>
      <c r="D582" s="1">
        <v>44999</v>
      </c>
      <c r="E582" t="s">
        <v>1759</v>
      </c>
    </row>
    <row r="583" spans="1:5" x14ac:dyDescent="0.35">
      <c r="A583" s="1">
        <v>45033</v>
      </c>
      <c r="B583" t="s">
        <v>557</v>
      </c>
      <c r="D583" s="1">
        <v>45000</v>
      </c>
      <c r="E583" t="s">
        <v>1395</v>
      </c>
    </row>
    <row r="584" spans="1:5" x14ac:dyDescent="0.35">
      <c r="A584" s="1">
        <v>45034</v>
      </c>
      <c r="B584" t="s">
        <v>559</v>
      </c>
      <c r="D584" s="1">
        <v>45001</v>
      </c>
      <c r="E584" t="s">
        <v>1761</v>
      </c>
    </row>
    <row r="585" spans="1:5" x14ac:dyDescent="0.35">
      <c r="A585" s="1">
        <v>45035</v>
      </c>
      <c r="B585" t="s">
        <v>560</v>
      </c>
      <c r="D585" s="1">
        <v>45002</v>
      </c>
      <c r="E585" t="s">
        <v>1241</v>
      </c>
    </row>
    <row r="586" spans="1:5" x14ac:dyDescent="0.35">
      <c r="A586" s="1">
        <v>45036</v>
      </c>
      <c r="B586" t="s">
        <v>558</v>
      </c>
      <c r="D586" s="1">
        <v>45005</v>
      </c>
      <c r="E586" t="s">
        <v>1762</v>
      </c>
    </row>
    <row r="587" spans="1:5" x14ac:dyDescent="0.35">
      <c r="A587" s="1">
        <v>45037</v>
      </c>
      <c r="B587" t="s">
        <v>561</v>
      </c>
      <c r="D587" s="1">
        <v>45006</v>
      </c>
      <c r="E587" t="s">
        <v>1498</v>
      </c>
    </row>
    <row r="588" spans="1:5" x14ac:dyDescent="0.35">
      <c r="A588" s="1">
        <v>45040</v>
      </c>
      <c r="B588" t="s">
        <v>550</v>
      </c>
      <c r="D588" s="1">
        <v>45007</v>
      </c>
      <c r="E588" t="s">
        <v>1387</v>
      </c>
    </row>
    <row r="589" spans="1:5" x14ac:dyDescent="0.35">
      <c r="A589" s="1">
        <v>45041</v>
      </c>
      <c r="B589" t="s">
        <v>563</v>
      </c>
      <c r="D589" s="1">
        <v>45008</v>
      </c>
      <c r="E589" t="s">
        <v>1763</v>
      </c>
    </row>
    <row r="590" spans="1:5" x14ac:dyDescent="0.35">
      <c r="A590" s="1">
        <v>45042</v>
      </c>
      <c r="B590" t="s">
        <v>565</v>
      </c>
      <c r="D590" s="1">
        <v>45009</v>
      </c>
      <c r="E590" t="s">
        <v>1764</v>
      </c>
    </row>
    <row r="591" spans="1:5" x14ac:dyDescent="0.35">
      <c r="A591" s="1">
        <v>45043</v>
      </c>
      <c r="B591" t="s">
        <v>567</v>
      </c>
      <c r="D591" s="1">
        <v>45012</v>
      </c>
      <c r="E591" t="s">
        <v>1239</v>
      </c>
    </row>
    <row r="592" spans="1:5" x14ac:dyDescent="0.35">
      <c r="A592" s="1">
        <v>45044</v>
      </c>
      <c r="B592" t="s">
        <v>568</v>
      </c>
      <c r="D592" s="1">
        <v>45013</v>
      </c>
      <c r="E592" t="s">
        <v>1356</v>
      </c>
    </row>
    <row r="593" spans="1:5" x14ac:dyDescent="0.35">
      <c r="A593" s="1">
        <v>45047</v>
      </c>
      <c r="B593" t="s">
        <v>569</v>
      </c>
      <c r="D593" s="1">
        <v>45014</v>
      </c>
      <c r="E593" t="s">
        <v>1350</v>
      </c>
    </row>
    <row r="594" spans="1:5" x14ac:dyDescent="0.35">
      <c r="A594" s="1">
        <v>45048</v>
      </c>
      <c r="B594" t="s">
        <v>570</v>
      </c>
      <c r="D594" s="1">
        <v>45015</v>
      </c>
      <c r="E594" t="s">
        <v>1284</v>
      </c>
    </row>
    <row r="595" spans="1:5" x14ac:dyDescent="0.35">
      <c r="A595" s="1">
        <v>45049</v>
      </c>
      <c r="B595" t="s">
        <v>572</v>
      </c>
      <c r="D595" s="1">
        <v>45016</v>
      </c>
      <c r="E595" t="s">
        <v>1765</v>
      </c>
    </row>
    <row r="596" spans="1:5" x14ac:dyDescent="0.35">
      <c r="A596" s="1">
        <v>45050</v>
      </c>
      <c r="B596" t="s">
        <v>573</v>
      </c>
      <c r="D596" s="1">
        <v>45019</v>
      </c>
      <c r="E596" t="s">
        <v>1766</v>
      </c>
    </row>
    <row r="597" spans="1:5" x14ac:dyDescent="0.35">
      <c r="A597" s="1">
        <v>45051</v>
      </c>
      <c r="B597" t="s">
        <v>574</v>
      </c>
      <c r="D597" s="1">
        <v>45020</v>
      </c>
      <c r="E597" t="s">
        <v>1767</v>
      </c>
    </row>
    <row r="598" spans="1:5" x14ac:dyDescent="0.35">
      <c r="A598" s="1">
        <v>45054</v>
      </c>
      <c r="B598" t="s">
        <v>575</v>
      </c>
      <c r="D598" s="1">
        <v>45021</v>
      </c>
      <c r="E598" t="s">
        <v>1768</v>
      </c>
    </row>
    <row r="599" spans="1:5" x14ac:dyDescent="0.35">
      <c r="A599" s="1">
        <v>45055</v>
      </c>
      <c r="B599" t="s">
        <v>576</v>
      </c>
      <c r="D599" s="1">
        <v>45022</v>
      </c>
      <c r="E599" t="s">
        <v>1769</v>
      </c>
    </row>
    <row r="600" spans="1:5" x14ac:dyDescent="0.35">
      <c r="A600" s="1">
        <v>45056</v>
      </c>
      <c r="B600" t="s">
        <v>578</v>
      </c>
      <c r="D600" s="1">
        <v>45023</v>
      </c>
      <c r="E600" t="s">
        <v>1770</v>
      </c>
    </row>
    <row r="601" spans="1:5" x14ac:dyDescent="0.35">
      <c r="A601" s="1">
        <v>45057</v>
      </c>
      <c r="B601" t="s">
        <v>579</v>
      </c>
      <c r="D601" s="1">
        <v>45026</v>
      </c>
      <c r="E601" t="s">
        <v>1771</v>
      </c>
    </row>
    <row r="602" spans="1:5" x14ac:dyDescent="0.35">
      <c r="A602" s="1">
        <v>45058</v>
      </c>
      <c r="B602" t="s">
        <v>580</v>
      </c>
      <c r="D602" s="1">
        <v>45027</v>
      </c>
      <c r="E602" t="s">
        <v>1772</v>
      </c>
    </row>
    <row r="603" spans="1:5" x14ac:dyDescent="0.35">
      <c r="A603" s="1">
        <v>45061</v>
      </c>
      <c r="B603" t="s">
        <v>571</v>
      </c>
      <c r="D603" s="1">
        <v>45028</v>
      </c>
      <c r="E603" t="s">
        <v>1316</v>
      </c>
    </row>
    <row r="604" spans="1:5" x14ac:dyDescent="0.35">
      <c r="A604" s="1">
        <v>45062</v>
      </c>
      <c r="B604" t="s">
        <v>581</v>
      </c>
      <c r="D604" s="1">
        <v>45029</v>
      </c>
      <c r="E604" t="s">
        <v>1773</v>
      </c>
    </row>
    <row r="605" spans="1:5" x14ac:dyDescent="0.35">
      <c r="A605" s="1">
        <v>45063</v>
      </c>
      <c r="B605" t="s">
        <v>582</v>
      </c>
      <c r="D605" s="1">
        <v>45030</v>
      </c>
      <c r="E605" t="s">
        <v>1189</v>
      </c>
    </row>
    <row r="606" spans="1:5" x14ac:dyDescent="0.35">
      <c r="A606" s="1">
        <v>45064</v>
      </c>
      <c r="B606" t="s">
        <v>583</v>
      </c>
      <c r="D606" s="1">
        <v>45033</v>
      </c>
      <c r="E606" t="s">
        <v>1774</v>
      </c>
    </row>
    <row r="607" spans="1:5" x14ac:dyDescent="0.35">
      <c r="A607" s="1">
        <v>45065</v>
      </c>
      <c r="B607" t="s">
        <v>381</v>
      </c>
      <c r="D607" s="1">
        <v>45034</v>
      </c>
      <c r="E607" t="s">
        <v>1775</v>
      </c>
    </row>
    <row r="608" spans="1:5" x14ac:dyDescent="0.35">
      <c r="A608" s="1">
        <v>45068</v>
      </c>
      <c r="B608" t="s">
        <v>584</v>
      </c>
      <c r="D608" s="1">
        <v>45035</v>
      </c>
      <c r="E608" t="s">
        <v>1776</v>
      </c>
    </row>
    <row r="609" spans="1:5" x14ac:dyDescent="0.35">
      <c r="A609" s="1">
        <v>45069</v>
      </c>
      <c r="B609" t="s">
        <v>541</v>
      </c>
      <c r="D609" s="1">
        <v>45036</v>
      </c>
      <c r="E609" t="s">
        <v>1777</v>
      </c>
    </row>
    <row r="610" spans="1:5" x14ac:dyDescent="0.35">
      <c r="A610" s="1">
        <v>45070</v>
      </c>
      <c r="B610" t="s">
        <v>585</v>
      </c>
      <c r="D610" s="1">
        <v>45037</v>
      </c>
      <c r="E610" t="s">
        <v>1195</v>
      </c>
    </row>
    <row r="611" spans="1:5" x14ac:dyDescent="0.35">
      <c r="A611" s="1">
        <v>45071</v>
      </c>
      <c r="B611" t="s">
        <v>586</v>
      </c>
      <c r="D611" s="1">
        <v>45040</v>
      </c>
      <c r="E611" t="s">
        <v>1778</v>
      </c>
    </row>
    <row r="612" spans="1:5" x14ac:dyDescent="0.35">
      <c r="A612" s="1">
        <v>45072</v>
      </c>
      <c r="B612" t="s">
        <v>587</v>
      </c>
      <c r="D612" s="1">
        <v>45041</v>
      </c>
      <c r="E612" t="s">
        <v>1779</v>
      </c>
    </row>
    <row r="613" spans="1:5" x14ac:dyDescent="0.35">
      <c r="A613" s="1">
        <v>45076</v>
      </c>
      <c r="B613" t="s">
        <v>588</v>
      </c>
      <c r="D613" s="1">
        <v>45042</v>
      </c>
      <c r="E613" t="s">
        <v>1780</v>
      </c>
    </row>
    <row r="614" spans="1:5" x14ac:dyDescent="0.35">
      <c r="A614" s="1">
        <v>45077</v>
      </c>
      <c r="B614" t="s">
        <v>590</v>
      </c>
      <c r="D614" s="1">
        <v>45043</v>
      </c>
      <c r="E614" t="s">
        <v>1782</v>
      </c>
    </row>
    <row r="615" spans="1:5" x14ac:dyDescent="0.35">
      <c r="A615" s="1">
        <v>45078</v>
      </c>
      <c r="B615" t="s">
        <v>591</v>
      </c>
      <c r="D615" s="1">
        <v>45044</v>
      </c>
      <c r="E615" t="s">
        <v>1783</v>
      </c>
    </row>
    <row r="616" spans="1:5" x14ac:dyDescent="0.35">
      <c r="A616" s="1">
        <v>45079</v>
      </c>
      <c r="B616" t="s">
        <v>540</v>
      </c>
      <c r="D616" s="1">
        <v>45047</v>
      </c>
      <c r="E616" t="s">
        <v>1774</v>
      </c>
    </row>
    <row r="617" spans="1:5" x14ac:dyDescent="0.35">
      <c r="A617" s="1">
        <v>45082</v>
      </c>
      <c r="B617" t="s">
        <v>588</v>
      </c>
      <c r="D617" s="1">
        <v>45048</v>
      </c>
      <c r="E617" t="s">
        <v>1785</v>
      </c>
    </row>
    <row r="618" spans="1:5" x14ac:dyDescent="0.35">
      <c r="A618" s="1">
        <v>45083</v>
      </c>
      <c r="B618" t="s">
        <v>593</v>
      </c>
      <c r="D618" s="1">
        <v>45049</v>
      </c>
      <c r="E618" t="s">
        <v>1786</v>
      </c>
    </row>
    <row r="619" spans="1:5" x14ac:dyDescent="0.35">
      <c r="A619" s="1">
        <v>45084</v>
      </c>
      <c r="B619" t="s">
        <v>589</v>
      </c>
      <c r="D619" s="1">
        <v>45050</v>
      </c>
      <c r="E619" t="s">
        <v>1787</v>
      </c>
    </row>
    <row r="620" spans="1:5" x14ac:dyDescent="0.35">
      <c r="A620" s="1">
        <v>45085</v>
      </c>
      <c r="B620" t="s">
        <v>363</v>
      </c>
      <c r="D620" s="1">
        <v>45051</v>
      </c>
      <c r="E620" t="s">
        <v>1789</v>
      </c>
    </row>
    <row r="621" spans="1:5" x14ac:dyDescent="0.35">
      <c r="A621" s="1">
        <v>45086</v>
      </c>
      <c r="B621" t="s">
        <v>595</v>
      </c>
      <c r="D621" s="1">
        <v>45054</v>
      </c>
      <c r="E621" t="s">
        <v>1790</v>
      </c>
    </row>
    <row r="622" spans="1:5" x14ac:dyDescent="0.35">
      <c r="A622" s="1">
        <v>45089</v>
      </c>
      <c r="B622" t="s">
        <v>597</v>
      </c>
      <c r="D622" s="1">
        <v>45055</v>
      </c>
      <c r="E622" t="s">
        <v>1791</v>
      </c>
    </row>
    <row r="623" spans="1:5" x14ac:dyDescent="0.35">
      <c r="A623" s="1">
        <v>45090</v>
      </c>
      <c r="B623" t="s">
        <v>598</v>
      </c>
      <c r="D623" s="1">
        <v>45056</v>
      </c>
      <c r="E623" t="s">
        <v>1793</v>
      </c>
    </row>
    <row r="624" spans="1:5" x14ac:dyDescent="0.35">
      <c r="A624" s="1">
        <v>45091</v>
      </c>
      <c r="B624" t="s">
        <v>597</v>
      </c>
      <c r="D624" s="1">
        <v>45057</v>
      </c>
      <c r="E624" t="s">
        <v>1794</v>
      </c>
    </row>
    <row r="625" spans="1:5" x14ac:dyDescent="0.35">
      <c r="A625" s="1">
        <v>45092</v>
      </c>
      <c r="B625" t="s">
        <v>599</v>
      </c>
      <c r="D625" s="1">
        <v>45058</v>
      </c>
      <c r="E625" t="s">
        <v>1325</v>
      </c>
    </row>
    <row r="626" spans="1:5" x14ac:dyDescent="0.35">
      <c r="A626" s="1">
        <v>45093</v>
      </c>
      <c r="B626" t="s">
        <v>600</v>
      </c>
      <c r="D626" s="1">
        <v>45061</v>
      </c>
      <c r="E626" t="s">
        <v>1211</v>
      </c>
    </row>
    <row r="627" spans="1:5" x14ac:dyDescent="0.35">
      <c r="A627" s="1">
        <v>45097</v>
      </c>
      <c r="B627" t="s">
        <v>601</v>
      </c>
      <c r="D627" s="1">
        <v>45062</v>
      </c>
      <c r="E627" t="s">
        <v>1795</v>
      </c>
    </row>
    <row r="628" spans="1:5" x14ac:dyDescent="0.35">
      <c r="A628" s="1">
        <v>45098</v>
      </c>
      <c r="B628" t="s">
        <v>603</v>
      </c>
      <c r="D628" s="1">
        <v>45063</v>
      </c>
      <c r="E628" t="s">
        <v>1797</v>
      </c>
    </row>
    <row r="629" spans="1:5" x14ac:dyDescent="0.35">
      <c r="A629" s="1">
        <v>45099</v>
      </c>
      <c r="B629" t="s">
        <v>604</v>
      </c>
      <c r="D629" s="1">
        <v>45064</v>
      </c>
      <c r="E629" t="s">
        <v>1799</v>
      </c>
    </row>
    <row r="630" spans="1:5" x14ac:dyDescent="0.35">
      <c r="A630" s="1">
        <v>45100</v>
      </c>
      <c r="B630" t="s">
        <v>370</v>
      </c>
      <c r="D630" s="1">
        <v>45065</v>
      </c>
      <c r="E630" t="s">
        <v>1800</v>
      </c>
    </row>
    <row r="631" spans="1:5" x14ac:dyDescent="0.35">
      <c r="A631" s="1">
        <v>45103</v>
      </c>
      <c r="B631" t="s">
        <v>605</v>
      </c>
      <c r="D631" s="1">
        <v>45068</v>
      </c>
      <c r="E631" t="s">
        <v>1801</v>
      </c>
    </row>
    <row r="632" spans="1:5" x14ac:dyDescent="0.35">
      <c r="A632" s="1">
        <v>45104</v>
      </c>
      <c r="B632" t="s">
        <v>606</v>
      </c>
      <c r="D632" s="1">
        <v>45069</v>
      </c>
      <c r="E632" t="s">
        <v>1210</v>
      </c>
    </row>
    <row r="633" spans="1:5" x14ac:dyDescent="0.35">
      <c r="A633" s="1">
        <v>45105</v>
      </c>
      <c r="B633" t="s">
        <v>16</v>
      </c>
      <c r="D633" s="1">
        <v>45070</v>
      </c>
      <c r="E633" t="s">
        <v>1802</v>
      </c>
    </row>
    <row r="634" spans="1:5" x14ac:dyDescent="0.35">
      <c r="A634" s="1">
        <v>45106</v>
      </c>
      <c r="B634" t="s">
        <v>333</v>
      </c>
      <c r="D634" s="1">
        <v>45071</v>
      </c>
      <c r="E634" t="s">
        <v>1804</v>
      </c>
    </row>
    <row r="635" spans="1:5" x14ac:dyDescent="0.35">
      <c r="A635" s="1">
        <v>45107</v>
      </c>
      <c r="B635" t="s">
        <v>607</v>
      </c>
      <c r="D635" s="1">
        <v>45072</v>
      </c>
      <c r="E635" t="s">
        <v>1805</v>
      </c>
    </row>
    <row r="636" spans="1:5" x14ac:dyDescent="0.35">
      <c r="A636" s="1">
        <v>45110</v>
      </c>
      <c r="B636" t="s">
        <v>608</v>
      </c>
      <c r="D636" s="1">
        <v>45075</v>
      </c>
      <c r="E636" t="s">
        <v>1806</v>
      </c>
    </row>
    <row r="637" spans="1:5" x14ac:dyDescent="0.35">
      <c r="A637" s="1">
        <v>45112</v>
      </c>
      <c r="B637" t="s">
        <v>610</v>
      </c>
      <c r="D637" s="1">
        <v>45076</v>
      </c>
      <c r="E637" t="s">
        <v>1319</v>
      </c>
    </row>
    <row r="638" spans="1:5" x14ac:dyDescent="0.35">
      <c r="A638" s="1">
        <v>45113</v>
      </c>
      <c r="B638" t="s">
        <v>611</v>
      </c>
      <c r="D638" s="1">
        <v>45077</v>
      </c>
      <c r="E638" t="s">
        <v>1807</v>
      </c>
    </row>
    <row r="639" spans="1:5" x14ac:dyDescent="0.35">
      <c r="A639" s="1">
        <v>45114</v>
      </c>
      <c r="B639" t="s">
        <v>612</v>
      </c>
      <c r="D639" s="1">
        <v>45078</v>
      </c>
      <c r="E639" t="s">
        <v>1809</v>
      </c>
    </row>
    <row r="640" spans="1:5" x14ac:dyDescent="0.35">
      <c r="A640" s="1">
        <v>45117</v>
      </c>
      <c r="B640" t="s">
        <v>358</v>
      </c>
      <c r="D640" s="1">
        <v>45079</v>
      </c>
      <c r="E640" t="s">
        <v>1810</v>
      </c>
    </row>
    <row r="641" spans="1:5" x14ac:dyDescent="0.35">
      <c r="A641" s="1">
        <v>45118</v>
      </c>
      <c r="B641" t="s">
        <v>602</v>
      </c>
      <c r="D641" s="1">
        <v>45082</v>
      </c>
      <c r="E641" t="s">
        <v>1811</v>
      </c>
    </row>
    <row r="642" spans="1:5" x14ac:dyDescent="0.35">
      <c r="A642" s="1">
        <v>45119</v>
      </c>
      <c r="B642" t="s">
        <v>613</v>
      </c>
      <c r="D642" s="1">
        <v>45083</v>
      </c>
      <c r="E642" t="s">
        <v>1812</v>
      </c>
    </row>
    <row r="643" spans="1:5" x14ac:dyDescent="0.35">
      <c r="A643" s="1">
        <v>45120</v>
      </c>
      <c r="B643" t="s">
        <v>614</v>
      </c>
      <c r="D643" s="1">
        <v>45084</v>
      </c>
      <c r="E643" t="s">
        <v>1813</v>
      </c>
    </row>
    <row r="644" spans="1:5" x14ac:dyDescent="0.35">
      <c r="A644" s="1">
        <v>45121</v>
      </c>
      <c r="B644" t="s">
        <v>615</v>
      </c>
      <c r="D644" s="1">
        <v>45085</v>
      </c>
      <c r="E644" t="s">
        <v>1814</v>
      </c>
    </row>
    <row r="645" spans="1:5" x14ac:dyDescent="0.35">
      <c r="A645" s="1">
        <v>45124</v>
      </c>
      <c r="B645" t="s">
        <v>540</v>
      </c>
      <c r="D645" s="1">
        <v>45086</v>
      </c>
      <c r="E645" t="s">
        <v>1815</v>
      </c>
    </row>
    <row r="646" spans="1:5" x14ac:dyDescent="0.35">
      <c r="A646" s="1">
        <v>45125</v>
      </c>
      <c r="B646" t="s">
        <v>382</v>
      </c>
      <c r="D646" s="1">
        <v>45089</v>
      </c>
      <c r="E646" t="s">
        <v>1314</v>
      </c>
    </row>
    <row r="647" spans="1:5" x14ac:dyDescent="0.35">
      <c r="A647" s="1">
        <v>45126</v>
      </c>
      <c r="B647" t="s">
        <v>616</v>
      </c>
      <c r="D647" s="1">
        <v>45090</v>
      </c>
      <c r="E647" t="s">
        <v>1816</v>
      </c>
    </row>
    <row r="648" spans="1:5" x14ac:dyDescent="0.35">
      <c r="A648" s="1">
        <v>45127</v>
      </c>
      <c r="B648" t="s">
        <v>617</v>
      </c>
      <c r="D648" s="1">
        <v>45091</v>
      </c>
      <c r="E648" t="s">
        <v>1378</v>
      </c>
    </row>
    <row r="649" spans="1:5" x14ac:dyDescent="0.35">
      <c r="A649" s="1">
        <v>45128</v>
      </c>
      <c r="B649" t="s">
        <v>618</v>
      </c>
      <c r="D649" s="1">
        <v>45092</v>
      </c>
      <c r="E649" t="s">
        <v>1817</v>
      </c>
    </row>
    <row r="650" spans="1:5" x14ac:dyDescent="0.35">
      <c r="A650" s="1">
        <v>45131</v>
      </c>
      <c r="B650" t="s">
        <v>596</v>
      </c>
      <c r="D650" s="1">
        <v>45093</v>
      </c>
      <c r="E650" t="s">
        <v>1818</v>
      </c>
    </row>
    <row r="651" spans="1:5" x14ac:dyDescent="0.35">
      <c r="A651" s="1">
        <v>45132</v>
      </c>
      <c r="B651" t="s">
        <v>620</v>
      </c>
      <c r="D651" s="1">
        <v>45096</v>
      </c>
      <c r="E651" t="s">
        <v>1819</v>
      </c>
    </row>
    <row r="652" spans="1:5" x14ac:dyDescent="0.35">
      <c r="A652" s="1">
        <v>45133</v>
      </c>
      <c r="B652" t="s">
        <v>536</v>
      </c>
      <c r="D652" s="1">
        <v>45097</v>
      </c>
      <c r="E652" t="s">
        <v>1821</v>
      </c>
    </row>
    <row r="653" spans="1:5" x14ac:dyDescent="0.35">
      <c r="A653" s="1">
        <v>45134</v>
      </c>
      <c r="B653" t="s">
        <v>621</v>
      </c>
      <c r="D653" s="1">
        <v>45098</v>
      </c>
      <c r="E653" t="s">
        <v>1823</v>
      </c>
    </row>
    <row r="654" spans="1:5" x14ac:dyDescent="0.35">
      <c r="A654" s="1">
        <v>45135</v>
      </c>
      <c r="B654" t="s">
        <v>622</v>
      </c>
      <c r="D654" s="1">
        <v>45099</v>
      </c>
      <c r="E654" t="s">
        <v>1824</v>
      </c>
    </row>
    <row r="655" spans="1:5" x14ac:dyDescent="0.35">
      <c r="A655" s="1">
        <v>45138</v>
      </c>
      <c r="B655" t="s">
        <v>623</v>
      </c>
      <c r="D655" s="1">
        <v>45100</v>
      </c>
      <c r="E655" t="s">
        <v>1798</v>
      </c>
    </row>
    <row r="656" spans="1:5" x14ac:dyDescent="0.35">
      <c r="A656" s="1">
        <v>45139</v>
      </c>
      <c r="B656" t="s">
        <v>594</v>
      </c>
      <c r="D656" s="1">
        <v>45103</v>
      </c>
      <c r="E656" t="s">
        <v>1821</v>
      </c>
    </row>
    <row r="657" spans="1:5" x14ac:dyDescent="0.35">
      <c r="A657" s="1">
        <v>45140</v>
      </c>
      <c r="B657" t="s">
        <v>624</v>
      </c>
      <c r="D657" s="1">
        <v>45104</v>
      </c>
      <c r="E657" t="s">
        <v>1826</v>
      </c>
    </row>
    <row r="658" spans="1:5" x14ac:dyDescent="0.35">
      <c r="A658" s="1">
        <v>45141</v>
      </c>
      <c r="B658" t="s">
        <v>625</v>
      </c>
      <c r="D658" s="1">
        <v>45105</v>
      </c>
      <c r="E658" t="s">
        <v>1827</v>
      </c>
    </row>
    <row r="659" spans="1:5" x14ac:dyDescent="0.35">
      <c r="A659" s="1">
        <v>45142</v>
      </c>
      <c r="B659" t="s">
        <v>365</v>
      </c>
      <c r="D659" s="1">
        <v>45106</v>
      </c>
      <c r="E659" t="s">
        <v>1828</v>
      </c>
    </row>
    <row r="660" spans="1:5" x14ac:dyDescent="0.35">
      <c r="A660" s="1">
        <v>45145</v>
      </c>
      <c r="B660" t="s">
        <v>367</v>
      </c>
      <c r="D660" s="1">
        <v>45107</v>
      </c>
      <c r="E660" t="s">
        <v>1831</v>
      </c>
    </row>
    <row r="661" spans="1:5" x14ac:dyDescent="0.35">
      <c r="A661" s="1">
        <v>45146</v>
      </c>
      <c r="B661" t="s">
        <v>627</v>
      </c>
      <c r="D661" s="1">
        <v>45110</v>
      </c>
      <c r="E661" t="s">
        <v>1832</v>
      </c>
    </row>
    <row r="662" spans="1:5" x14ac:dyDescent="0.35">
      <c r="A662" s="1">
        <v>45147</v>
      </c>
      <c r="B662" t="s">
        <v>628</v>
      </c>
      <c r="D662" s="1">
        <v>45111</v>
      </c>
      <c r="E662" t="s">
        <v>1833</v>
      </c>
    </row>
    <row r="663" spans="1:5" x14ac:dyDescent="0.35">
      <c r="A663" s="1">
        <v>45148</v>
      </c>
      <c r="B663" t="s">
        <v>629</v>
      </c>
      <c r="D663" s="1">
        <v>45112</v>
      </c>
      <c r="E663" t="s">
        <v>1835</v>
      </c>
    </row>
    <row r="664" spans="1:5" x14ac:dyDescent="0.35">
      <c r="A664" s="1">
        <v>45149</v>
      </c>
      <c r="B664" t="s">
        <v>630</v>
      </c>
      <c r="D664" s="1">
        <v>45113</v>
      </c>
      <c r="E664" t="s">
        <v>1836</v>
      </c>
    </row>
    <row r="665" spans="1:5" x14ac:dyDescent="0.35">
      <c r="A665" s="1">
        <v>45152</v>
      </c>
      <c r="B665" t="s">
        <v>334</v>
      </c>
      <c r="D665" s="1">
        <v>45114</v>
      </c>
      <c r="E665" t="s">
        <v>1837</v>
      </c>
    </row>
    <row r="666" spans="1:5" x14ac:dyDescent="0.35">
      <c r="A666" s="1">
        <v>45153</v>
      </c>
      <c r="B666" t="s">
        <v>144</v>
      </c>
      <c r="D666" s="1">
        <v>45117</v>
      </c>
      <c r="E666" t="s">
        <v>1201</v>
      </c>
    </row>
    <row r="667" spans="1:5" x14ac:dyDescent="0.35">
      <c r="A667" s="1">
        <v>45154</v>
      </c>
      <c r="B667" t="s">
        <v>632</v>
      </c>
      <c r="D667" s="1">
        <v>45118</v>
      </c>
      <c r="E667" t="s">
        <v>1838</v>
      </c>
    </row>
    <row r="668" spans="1:5" x14ac:dyDescent="0.35">
      <c r="A668" s="1">
        <v>45155</v>
      </c>
      <c r="B668" t="s">
        <v>633</v>
      </c>
      <c r="D668" s="1">
        <v>45119</v>
      </c>
      <c r="E668" t="s">
        <v>1839</v>
      </c>
    </row>
    <row r="669" spans="1:5" x14ac:dyDescent="0.35">
      <c r="A669" s="1">
        <v>45156</v>
      </c>
      <c r="B669" t="s">
        <v>634</v>
      </c>
      <c r="D669" s="1">
        <v>45120</v>
      </c>
      <c r="E669" t="s">
        <v>1840</v>
      </c>
    </row>
    <row r="670" spans="1:5" x14ac:dyDescent="0.35">
      <c r="A670" s="1">
        <v>45159</v>
      </c>
      <c r="B670" t="s">
        <v>635</v>
      </c>
      <c r="D670" s="1">
        <v>45121</v>
      </c>
      <c r="E670" t="s">
        <v>1841</v>
      </c>
    </row>
    <row r="671" spans="1:5" x14ac:dyDescent="0.35">
      <c r="A671" s="1">
        <v>45160</v>
      </c>
      <c r="B671" t="s">
        <v>636</v>
      </c>
      <c r="D671" s="1">
        <v>45124</v>
      </c>
      <c r="E671" t="s">
        <v>1842</v>
      </c>
    </row>
    <row r="672" spans="1:5" x14ac:dyDescent="0.35">
      <c r="A672" s="1">
        <v>45161</v>
      </c>
      <c r="B672" t="s">
        <v>637</v>
      </c>
      <c r="D672" s="1">
        <v>45125</v>
      </c>
      <c r="E672" t="s">
        <v>1843</v>
      </c>
    </row>
    <row r="673" spans="1:5" x14ac:dyDescent="0.35">
      <c r="A673" s="1">
        <v>45162</v>
      </c>
      <c r="B673" t="s">
        <v>394</v>
      </c>
      <c r="D673" s="1">
        <v>45126</v>
      </c>
      <c r="E673" t="s">
        <v>1845</v>
      </c>
    </row>
    <row r="674" spans="1:5" x14ac:dyDescent="0.35">
      <c r="A674" s="1">
        <v>45163</v>
      </c>
      <c r="B674" t="s">
        <v>513</v>
      </c>
      <c r="D674" s="1">
        <v>45127</v>
      </c>
      <c r="E674" t="s">
        <v>1846</v>
      </c>
    </row>
    <row r="675" spans="1:5" x14ac:dyDescent="0.35">
      <c r="A675" s="1">
        <v>45166</v>
      </c>
      <c r="B675" t="s">
        <v>609</v>
      </c>
      <c r="D675" s="1">
        <v>45128</v>
      </c>
      <c r="E675" t="s">
        <v>1847</v>
      </c>
    </row>
    <row r="676" spans="1:5" x14ac:dyDescent="0.35">
      <c r="A676" s="1">
        <v>45167</v>
      </c>
      <c r="B676" t="s">
        <v>626</v>
      </c>
      <c r="D676" s="1">
        <v>45131</v>
      </c>
      <c r="E676" t="s">
        <v>1848</v>
      </c>
    </row>
    <row r="677" spans="1:5" x14ac:dyDescent="0.35">
      <c r="A677" s="1">
        <v>45168</v>
      </c>
      <c r="B677" t="s">
        <v>377</v>
      </c>
      <c r="D677" s="1">
        <v>45132</v>
      </c>
      <c r="E677" t="s">
        <v>1849</v>
      </c>
    </row>
    <row r="678" spans="1:5" x14ac:dyDescent="0.35">
      <c r="A678" s="1">
        <v>45169</v>
      </c>
      <c r="B678" t="s">
        <v>638</v>
      </c>
      <c r="D678" s="1">
        <v>45133</v>
      </c>
      <c r="E678" t="s">
        <v>1850</v>
      </c>
    </row>
    <row r="679" spans="1:5" x14ac:dyDescent="0.35">
      <c r="A679" s="1">
        <v>45170</v>
      </c>
      <c r="B679" t="s">
        <v>352</v>
      </c>
      <c r="D679" s="1">
        <v>45134</v>
      </c>
      <c r="E679" t="s">
        <v>1851</v>
      </c>
    </row>
    <row r="680" spans="1:5" x14ac:dyDescent="0.35">
      <c r="A680" s="1">
        <v>45174</v>
      </c>
      <c r="B680" t="s">
        <v>612</v>
      </c>
      <c r="D680" s="1">
        <v>45135</v>
      </c>
      <c r="E680" t="s">
        <v>1852</v>
      </c>
    </row>
    <row r="681" spans="1:5" x14ac:dyDescent="0.35">
      <c r="A681" s="1">
        <v>45175</v>
      </c>
      <c r="B681" t="s">
        <v>639</v>
      </c>
      <c r="D681" s="1">
        <v>45138</v>
      </c>
      <c r="E681" t="s">
        <v>1853</v>
      </c>
    </row>
    <row r="682" spans="1:5" x14ac:dyDescent="0.35">
      <c r="A682" s="1">
        <v>45176</v>
      </c>
      <c r="B682" t="s">
        <v>640</v>
      </c>
      <c r="D682" s="1">
        <v>45139</v>
      </c>
      <c r="E682" t="s">
        <v>1854</v>
      </c>
    </row>
    <row r="683" spans="1:5" x14ac:dyDescent="0.35">
      <c r="A683" s="1">
        <v>45177</v>
      </c>
      <c r="B683" t="s">
        <v>368</v>
      </c>
      <c r="D683" s="1">
        <v>45140</v>
      </c>
      <c r="E683" t="s">
        <v>1855</v>
      </c>
    </row>
    <row r="684" spans="1:5" x14ac:dyDescent="0.35">
      <c r="A684" s="1">
        <v>45180</v>
      </c>
      <c r="B684" t="s">
        <v>641</v>
      </c>
      <c r="D684" s="1">
        <v>45141</v>
      </c>
      <c r="E684" t="s">
        <v>1856</v>
      </c>
    </row>
    <row r="685" spans="1:5" x14ac:dyDescent="0.35">
      <c r="A685" s="1">
        <v>45181</v>
      </c>
      <c r="B685" t="s">
        <v>521</v>
      </c>
      <c r="D685" s="1">
        <v>45142</v>
      </c>
      <c r="E685" t="s">
        <v>1858</v>
      </c>
    </row>
    <row r="686" spans="1:5" x14ac:dyDescent="0.35">
      <c r="A686" s="1">
        <v>45182</v>
      </c>
      <c r="B686" t="s">
        <v>390</v>
      </c>
      <c r="D686" s="1">
        <v>45145</v>
      </c>
      <c r="E686" t="s">
        <v>1859</v>
      </c>
    </row>
    <row r="687" spans="1:5" x14ac:dyDescent="0.35">
      <c r="A687" s="1">
        <v>45183</v>
      </c>
      <c r="B687" t="s">
        <v>642</v>
      </c>
      <c r="D687" s="1">
        <v>45146</v>
      </c>
      <c r="E687" t="s">
        <v>1860</v>
      </c>
    </row>
    <row r="688" spans="1:5" x14ac:dyDescent="0.35">
      <c r="A688" s="1">
        <v>45184</v>
      </c>
      <c r="B688" t="s">
        <v>605</v>
      </c>
      <c r="D688" s="1">
        <v>45147</v>
      </c>
      <c r="E688" t="s">
        <v>1861</v>
      </c>
    </row>
    <row r="689" spans="1:5" x14ac:dyDescent="0.35">
      <c r="A689" s="1">
        <v>45187</v>
      </c>
      <c r="B689" t="s">
        <v>643</v>
      </c>
      <c r="D689" s="1">
        <v>45148</v>
      </c>
      <c r="E689" t="s">
        <v>1862</v>
      </c>
    </row>
    <row r="690" spans="1:5" x14ac:dyDescent="0.35">
      <c r="A690" s="1">
        <v>45188</v>
      </c>
      <c r="B690" t="s">
        <v>625</v>
      </c>
      <c r="D690" s="1">
        <v>45149</v>
      </c>
      <c r="E690" t="s">
        <v>1863</v>
      </c>
    </row>
    <row r="691" spans="1:5" x14ac:dyDescent="0.35">
      <c r="A691" s="1">
        <v>45189</v>
      </c>
      <c r="B691" t="s">
        <v>340</v>
      </c>
      <c r="D691" s="1">
        <v>45152</v>
      </c>
      <c r="E691" t="s">
        <v>1864</v>
      </c>
    </row>
    <row r="692" spans="1:5" x14ac:dyDescent="0.35">
      <c r="A692" s="1">
        <v>45190</v>
      </c>
      <c r="B692" t="s">
        <v>644</v>
      </c>
      <c r="D692" s="1">
        <v>45153</v>
      </c>
      <c r="E692" t="s">
        <v>1866</v>
      </c>
    </row>
    <row r="693" spans="1:5" x14ac:dyDescent="0.35">
      <c r="A693" s="1">
        <v>45191</v>
      </c>
      <c r="B693" t="s">
        <v>359</v>
      </c>
      <c r="D693" s="1">
        <v>45154</v>
      </c>
      <c r="E693" t="s">
        <v>1867</v>
      </c>
    </row>
    <row r="694" spans="1:5" x14ac:dyDescent="0.35">
      <c r="A694" s="1">
        <v>45194</v>
      </c>
      <c r="B694" t="s">
        <v>631</v>
      </c>
      <c r="D694" s="1">
        <v>45155</v>
      </c>
      <c r="E694" t="s">
        <v>1868</v>
      </c>
    </row>
    <row r="695" spans="1:5" x14ac:dyDescent="0.35">
      <c r="A695" s="1">
        <v>45195</v>
      </c>
      <c r="B695" t="s">
        <v>645</v>
      </c>
      <c r="D695" s="1">
        <v>45156</v>
      </c>
      <c r="E695" t="s">
        <v>1869</v>
      </c>
    </row>
    <row r="696" spans="1:5" x14ac:dyDescent="0.35">
      <c r="A696" s="1">
        <v>45196</v>
      </c>
      <c r="B696" t="s">
        <v>510</v>
      </c>
      <c r="D696" s="1">
        <v>45159</v>
      </c>
      <c r="E696" t="s">
        <v>1870</v>
      </c>
    </row>
    <row r="697" spans="1:5" x14ac:dyDescent="0.35">
      <c r="A697" s="1">
        <v>45197</v>
      </c>
      <c r="B697" t="s">
        <v>646</v>
      </c>
      <c r="D697" s="1">
        <v>45160</v>
      </c>
      <c r="E697" t="s">
        <v>1871</v>
      </c>
    </row>
    <row r="698" spans="1:5" x14ac:dyDescent="0.35">
      <c r="A698" s="1">
        <v>45198</v>
      </c>
      <c r="B698" t="s">
        <v>647</v>
      </c>
      <c r="D698" s="1">
        <v>45161</v>
      </c>
      <c r="E698" t="s">
        <v>1857</v>
      </c>
    </row>
    <row r="699" spans="1:5" x14ac:dyDescent="0.35">
      <c r="A699" s="1">
        <v>45201</v>
      </c>
      <c r="B699" t="s">
        <v>527</v>
      </c>
      <c r="D699" s="1">
        <v>45162</v>
      </c>
      <c r="E699" t="s">
        <v>1872</v>
      </c>
    </row>
    <row r="700" spans="1:5" x14ac:dyDescent="0.35">
      <c r="A700" s="1">
        <v>45202</v>
      </c>
      <c r="B700" t="s">
        <v>303</v>
      </c>
      <c r="D700" s="1">
        <v>45163</v>
      </c>
      <c r="E700" t="s">
        <v>1171</v>
      </c>
    </row>
    <row r="701" spans="1:5" x14ac:dyDescent="0.35">
      <c r="A701" s="1">
        <v>45203</v>
      </c>
      <c r="B701" t="s">
        <v>178</v>
      </c>
      <c r="D701" s="1">
        <v>45166</v>
      </c>
      <c r="E701" t="s">
        <v>1874</v>
      </c>
    </row>
    <row r="702" spans="1:5" x14ac:dyDescent="0.35">
      <c r="A702" s="1">
        <v>45204</v>
      </c>
      <c r="B702" t="s">
        <v>219</v>
      </c>
      <c r="D702" s="1">
        <v>45167</v>
      </c>
      <c r="E702" t="s">
        <v>1875</v>
      </c>
    </row>
    <row r="703" spans="1:5" x14ac:dyDescent="0.35">
      <c r="A703" s="1">
        <v>45205</v>
      </c>
      <c r="B703" t="s">
        <v>272</v>
      </c>
      <c r="D703" s="1">
        <v>45168</v>
      </c>
      <c r="E703" t="s">
        <v>1876</v>
      </c>
    </row>
    <row r="704" spans="1:5" x14ac:dyDescent="0.35">
      <c r="A704" s="1">
        <v>45208</v>
      </c>
      <c r="B704" t="s">
        <v>648</v>
      </c>
      <c r="D704" s="1">
        <v>45169</v>
      </c>
      <c r="E704" t="s">
        <v>1183</v>
      </c>
    </row>
    <row r="705" spans="1:5" x14ac:dyDescent="0.35">
      <c r="A705" s="1">
        <v>45209</v>
      </c>
      <c r="B705" t="s">
        <v>2</v>
      </c>
      <c r="D705" s="1">
        <v>45170</v>
      </c>
      <c r="E705" t="s">
        <v>1878</v>
      </c>
    </row>
    <row r="706" spans="1:5" x14ac:dyDescent="0.35">
      <c r="A706" s="1">
        <v>45210</v>
      </c>
      <c r="B706" t="s">
        <v>649</v>
      </c>
      <c r="D706" s="1">
        <v>45173</v>
      </c>
      <c r="E706" t="s">
        <v>1879</v>
      </c>
    </row>
    <row r="707" spans="1:5" x14ac:dyDescent="0.35">
      <c r="A707" s="1">
        <v>45211</v>
      </c>
      <c r="B707" t="s">
        <v>150</v>
      </c>
      <c r="D707" s="1">
        <v>45174</v>
      </c>
      <c r="E707" t="s">
        <v>1880</v>
      </c>
    </row>
    <row r="708" spans="1:5" x14ac:dyDescent="0.35">
      <c r="A708" s="1">
        <v>45212</v>
      </c>
      <c r="B708" t="s">
        <v>650</v>
      </c>
      <c r="D708" s="1">
        <v>45175</v>
      </c>
      <c r="E708" t="s">
        <v>1882</v>
      </c>
    </row>
    <row r="709" spans="1:5" x14ac:dyDescent="0.35">
      <c r="A709" s="1">
        <v>45215</v>
      </c>
      <c r="B709" t="s">
        <v>607</v>
      </c>
      <c r="D709" s="1">
        <v>45176</v>
      </c>
      <c r="E709" t="s">
        <v>1205</v>
      </c>
    </row>
    <row r="710" spans="1:5" x14ac:dyDescent="0.35">
      <c r="A710" s="1">
        <v>45216</v>
      </c>
      <c r="B710" t="s">
        <v>651</v>
      </c>
      <c r="D710" s="1">
        <v>45177</v>
      </c>
      <c r="E710" t="s">
        <v>1883</v>
      </c>
    </row>
    <row r="711" spans="1:5" x14ac:dyDescent="0.35">
      <c r="A711" s="1">
        <v>45217</v>
      </c>
      <c r="B711" t="s">
        <v>597</v>
      </c>
      <c r="D711" s="1">
        <v>45180</v>
      </c>
      <c r="E711" t="s">
        <v>1796</v>
      </c>
    </row>
    <row r="712" spans="1:5" x14ac:dyDescent="0.35">
      <c r="A712" s="1">
        <v>45218</v>
      </c>
      <c r="B712" t="s">
        <v>378</v>
      </c>
      <c r="D712" s="1">
        <v>45181</v>
      </c>
      <c r="E712" t="s">
        <v>1884</v>
      </c>
    </row>
    <row r="713" spans="1:5" x14ac:dyDescent="0.35">
      <c r="A713" s="1">
        <v>45219</v>
      </c>
      <c r="B713" t="s">
        <v>592</v>
      </c>
      <c r="D713" s="1">
        <v>45182</v>
      </c>
      <c r="E713" t="s">
        <v>1885</v>
      </c>
    </row>
    <row r="714" spans="1:5" x14ac:dyDescent="0.35">
      <c r="A714" s="1">
        <v>45222</v>
      </c>
      <c r="B714" t="s">
        <v>653</v>
      </c>
      <c r="D714" s="1">
        <v>45183</v>
      </c>
      <c r="E714" t="s">
        <v>1820</v>
      </c>
    </row>
    <row r="715" spans="1:5" x14ac:dyDescent="0.35">
      <c r="A715" s="1">
        <v>45223</v>
      </c>
      <c r="B715" t="s">
        <v>654</v>
      </c>
      <c r="D715" s="1">
        <v>45184</v>
      </c>
      <c r="E715" t="s">
        <v>1335</v>
      </c>
    </row>
    <row r="716" spans="1:5" x14ac:dyDescent="0.35">
      <c r="A716" s="1">
        <v>45224</v>
      </c>
      <c r="B716" t="s">
        <v>655</v>
      </c>
      <c r="D716" s="1">
        <v>45187</v>
      </c>
      <c r="E716" t="s">
        <v>1886</v>
      </c>
    </row>
    <row r="717" spans="1:5" x14ac:dyDescent="0.35">
      <c r="A717" s="1">
        <v>45225</v>
      </c>
      <c r="B717" t="s">
        <v>656</v>
      </c>
      <c r="D717" s="1">
        <v>45188</v>
      </c>
      <c r="E717" t="s">
        <v>1834</v>
      </c>
    </row>
    <row r="718" spans="1:5" x14ac:dyDescent="0.35">
      <c r="A718" s="1">
        <v>45226</v>
      </c>
      <c r="B718" t="s">
        <v>652</v>
      </c>
      <c r="D718" s="1">
        <v>45189</v>
      </c>
      <c r="E718" t="s">
        <v>1888</v>
      </c>
    </row>
    <row r="719" spans="1:5" x14ac:dyDescent="0.35">
      <c r="A719" s="1">
        <v>45229</v>
      </c>
      <c r="B719" t="s">
        <v>562</v>
      </c>
      <c r="D719" s="1">
        <v>45190</v>
      </c>
      <c r="E719" t="s">
        <v>1889</v>
      </c>
    </row>
    <row r="720" spans="1:5" x14ac:dyDescent="0.35">
      <c r="A720" s="1">
        <v>45230</v>
      </c>
      <c r="B720" t="s">
        <v>657</v>
      </c>
      <c r="D720" s="1">
        <v>45191</v>
      </c>
      <c r="E720" t="s">
        <v>1890</v>
      </c>
    </row>
    <row r="721" spans="1:5" x14ac:dyDescent="0.35">
      <c r="A721" s="1">
        <v>45231</v>
      </c>
      <c r="B721" t="s">
        <v>658</v>
      </c>
      <c r="D721" s="1">
        <v>45194</v>
      </c>
      <c r="E721" t="s">
        <v>1891</v>
      </c>
    </row>
    <row r="722" spans="1:5" x14ac:dyDescent="0.35">
      <c r="A722" s="1">
        <v>45232</v>
      </c>
      <c r="B722" t="s">
        <v>566</v>
      </c>
      <c r="D722" s="1">
        <v>45195</v>
      </c>
      <c r="E722" t="s">
        <v>1892</v>
      </c>
    </row>
    <row r="723" spans="1:5" x14ac:dyDescent="0.35">
      <c r="A723" s="1">
        <v>45233</v>
      </c>
      <c r="B723" t="s">
        <v>661</v>
      </c>
      <c r="D723" s="1">
        <v>45196</v>
      </c>
      <c r="E723" t="s">
        <v>1894</v>
      </c>
    </row>
    <row r="724" spans="1:5" x14ac:dyDescent="0.35">
      <c r="A724" s="1">
        <v>45236</v>
      </c>
      <c r="B724" t="s">
        <v>662</v>
      </c>
      <c r="D724" s="1">
        <v>45197</v>
      </c>
      <c r="E724" t="s">
        <v>1895</v>
      </c>
    </row>
    <row r="725" spans="1:5" x14ac:dyDescent="0.35">
      <c r="A725" s="1">
        <v>45237</v>
      </c>
      <c r="B725" t="s">
        <v>663</v>
      </c>
      <c r="D725" s="1">
        <v>45198</v>
      </c>
      <c r="E725" t="s">
        <v>1486</v>
      </c>
    </row>
    <row r="726" spans="1:5" x14ac:dyDescent="0.35">
      <c r="A726" s="1">
        <v>45238</v>
      </c>
      <c r="B726" t="s">
        <v>664</v>
      </c>
      <c r="D726" s="1">
        <v>45201</v>
      </c>
      <c r="E726" t="s">
        <v>1235</v>
      </c>
    </row>
    <row r="727" spans="1:5" x14ac:dyDescent="0.35">
      <c r="A727" s="1">
        <v>45239</v>
      </c>
      <c r="B727" t="s">
        <v>665</v>
      </c>
      <c r="D727" s="1">
        <v>45202</v>
      </c>
      <c r="E727" t="s">
        <v>1522</v>
      </c>
    </row>
    <row r="728" spans="1:5" x14ac:dyDescent="0.35">
      <c r="A728" s="1">
        <v>45240</v>
      </c>
      <c r="B728" t="s">
        <v>366</v>
      </c>
      <c r="D728" s="1">
        <v>45203</v>
      </c>
      <c r="E728" t="s">
        <v>1896</v>
      </c>
    </row>
    <row r="729" spans="1:5" x14ac:dyDescent="0.35">
      <c r="A729" s="1">
        <v>45243</v>
      </c>
      <c r="B729" t="s">
        <v>386</v>
      </c>
      <c r="D729" s="1">
        <v>45204</v>
      </c>
      <c r="E729" t="s">
        <v>1897</v>
      </c>
    </row>
    <row r="730" spans="1:5" x14ac:dyDescent="0.35">
      <c r="A730" s="1">
        <v>45244</v>
      </c>
      <c r="B730" t="s">
        <v>619</v>
      </c>
      <c r="D730" s="1">
        <v>45205</v>
      </c>
      <c r="E730" t="s">
        <v>1898</v>
      </c>
    </row>
    <row r="731" spans="1:5" x14ac:dyDescent="0.35">
      <c r="A731" s="1">
        <v>45245</v>
      </c>
      <c r="B731" t="s">
        <v>615</v>
      </c>
      <c r="D731" s="1">
        <v>45208</v>
      </c>
      <c r="E731" t="s">
        <v>1297</v>
      </c>
    </row>
    <row r="732" spans="1:5" x14ac:dyDescent="0.35">
      <c r="A732" s="1">
        <v>45246</v>
      </c>
      <c r="B732" t="s">
        <v>545</v>
      </c>
      <c r="D732" s="1">
        <v>45209</v>
      </c>
      <c r="E732" t="s">
        <v>1900</v>
      </c>
    </row>
    <row r="733" spans="1:5" x14ac:dyDescent="0.35">
      <c r="A733" s="1">
        <v>45247</v>
      </c>
      <c r="B733" t="s">
        <v>662</v>
      </c>
      <c r="D733" s="1">
        <v>45210</v>
      </c>
      <c r="E733" t="s">
        <v>1901</v>
      </c>
    </row>
    <row r="734" spans="1:5" x14ac:dyDescent="0.35">
      <c r="A734" s="1">
        <v>45250</v>
      </c>
      <c r="B734" t="s">
        <v>350</v>
      </c>
      <c r="D734" s="1">
        <v>45211</v>
      </c>
      <c r="E734" t="s">
        <v>1902</v>
      </c>
    </row>
    <row r="735" spans="1:5" x14ac:dyDescent="0.35">
      <c r="A735" s="1">
        <v>45251</v>
      </c>
      <c r="B735" t="s">
        <v>666</v>
      </c>
      <c r="D735" s="1">
        <v>45212</v>
      </c>
      <c r="E735" t="s">
        <v>1903</v>
      </c>
    </row>
    <row r="736" spans="1:5" x14ac:dyDescent="0.35">
      <c r="A736" s="1">
        <v>45252</v>
      </c>
      <c r="B736" t="s">
        <v>552</v>
      </c>
      <c r="D736" s="1">
        <v>45215</v>
      </c>
      <c r="E736" t="s">
        <v>1904</v>
      </c>
    </row>
    <row r="737" spans="1:5" x14ac:dyDescent="0.35">
      <c r="A737" s="1">
        <v>45254</v>
      </c>
      <c r="B737" t="s">
        <v>556</v>
      </c>
      <c r="D737" s="1">
        <v>45216</v>
      </c>
      <c r="E737" t="s">
        <v>1905</v>
      </c>
    </row>
    <row r="738" spans="1:5" x14ac:dyDescent="0.35">
      <c r="A738" s="1">
        <v>45257</v>
      </c>
      <c r="B738" t="s">
        <v>667</v>
      </c>
      <c r="D738" s="1">
        <v>45217</v>
      </c>
      <c r="E738" t="s">
        <v>1328</v>
      </c>
    </row>
    <row r="739" spans="1:5" x14ac:dyDescent="0.35">
      <c r="A739" s="1">
        <v>45258</v>
      </c>
      <c r="B739" t="s">
        <v>668</v>
      </c>
      <c r="D739" s="1">
        <v>45218</v>
      </c>
      <c r="E739" t="s">
        <v>1226</v>
      </c>
    </row>
    <row r="740" spans="1:5" x14ac:dyDescent="0.35">
      <c r="A740" s="1">
        <v>45259</v>
      </c>
      <c r="B740" t="s">
        <v>669</v>
      </c>
      <c r="D740" s="1">
        <v>45219</v>
      </c>
      <c r="E740" t="s">
        <v>1906</v>
      </c>
    </row>
    <row r="741" spans="1:5" x14ac:dyDescent="0.35">
      <c r="A741" s="1">
        <v>45260</v>
      </c>
      <c r="B741" t="s">
        <v>670</v>
      </c>
      <c r="D741" s="1">
        <v>45222</v>
      </c>
      <c r="E741" t="s">
        <v>1820</v>
      </c>
    </row>
    <row r="742" spans="1:5" x14ac:dyDescent="0.35">
      <c r="A742" s="1">
        <v>45261</v>
      </c>
      <c r="B742" t="s">
        <v>671</v>
      </c>
      <c r="D742" s="1">
        <v>45223</v>
      </c>
      <c r="E742" t="s">
        <v>1206</v>
      </c>
    </row>
    <row r="743" spans="1:5" x14ac:dyDescent="0.35">
      <c r="A743" s="1">
        <v>45264</v>
      </c>
      <c r="B743" t="s">
        <v>672</v>
      </c>
      <c r="D743" s="1">
        <v>45224</v>
      </c>
      <c r="E743" t="s">
        <v>1217</v>
      </c>
    </row>
    <row r="744" spans="1:5" x14ac:dyDescent="0.35">
      <c r="A744" s="1">
        <v>45265</v>
      </c>
      <c r="B744" t="s">
        <v>673</v>
      </c>
      <c r="D744" s="1">
        <v>45225</v>
      </c>
      <c r="E744" t="s">
        <v>1332</v>
      </c>
    </row>
    <row r="745" spans="1:5" x14ac:dyDescent="0.35">
      <c r="A745" s="1">
        <v>45266</v>
      </c>
      <c r="B745" t="s">
        <v>578</v>
      </c>
      <c r="D745" s="1">
        <v>45226</v>
      </c>
      <c r="E745" t="s">
        <v>1907</v>
      </c>
    </row>
    <row r="746" spans="1:5" x14ac:dyDescent="0.35">
      <c r="A746" s="1">
        <v>45267</v>
      </c>
      <c r="B746" t="s">
        <v>674</v>
      </c>
      <c r="D746" s="1">
        <v>45229</v>
      </c>
      <c r="E746" t="s">
        <v>1908</v>
      </c>
    </row>
    <row r="747" spans="1:5" x14ac:dyDescent="0.35">
      <c r="A747" s="1">
        <v>45268</v>
      </c>
      <c r="B747" t="s">
        <v>675</v>
      </c>
      <c r="D747" s="1">
        <v>45230</v>
      </c>
      <c r="E747" t="s">
        <v>1909</v>
      </c>
    </row>
    <row r="748" spans="1:5" x14ac:dyDescent="0.35">
      <c r="A748" s="1">
        <v>45271</v>
      </c>
      <c r="B748" t="s">
        <v>591</v>
      </c>
      <c r="D748" s="1">
        <v>45231</v>
      </c>
      <c r="E748" t="s">
        <v>1390</v>
      </c>
    </row>
    <row r="749" spans="1:5" x14ac:dyDescent="0.35">
      <c r="A749" s="1">
        <v>45272</v>
      </c>
      <c r="B749" t="s">
        <v>659</v>
      </c>
      <c r="D749" s="1">
        <v>45232</v>
      </c>
      <c r="E749" t="s">
        <v>1808</v>
      </c>
    </row>
    <row r="750" spans="1:5" x14ac:dyDescent="0.35">
      <c r="A750" s="1">
        <v>45273</v>
      </c>
      <c r="B750" t="s">
        <v>564</v>
      </c>
      <c r="D750" s="1">
        <v>45233</v>
      </c>
      <c r="E750" t="s">
        <v>1899</v>
      </c>
    </row>
    <row r="751" spans="1:5" x14ac:dyDescent="0.35">
      <c r="A751" s="1">
        <v>45274</v>
      </c>
      <c r="B751" t="s">
        <v>676</v>
      </c>
      <c r="D751" s="1">
        <v>45236</v>
      </c>
      <c r="E751" t="s">
        <v>1910</v>
      </c>
    </row>
    <row r="752" spans="1:5" x14ac:dyDescent="0.35">
      <c r="A752" s="1">
        <v>45275</v>
      </c>
      <c r="B752" t="s">
        <v>677</v>
      </c>
      <c r="D752" s="1">
        <v>45237</v>
      </c>
      <c r="E752" t="s">
        <v>1889</v>
      </c>
    </row>
    <row r="753" spans="1:5" x14ac:dyDescent="0.35">
      <c r="A753" s="1">
        <v>45278</v>
      </c>
      <c r="B753" t="s">
        <v>575</v>
      </c>
      <c r="D753" s="1">
        <v>45238</v>
      </c>
      <c r="E753" t="s">
        <v>1829</v>
      </c>
    </row>
    <row r="754" spans="1:5" x14ac:dyDescent="0.35">
      <c r="A754" s="1">
        <v>45279</v>
      </c>
      <c r="B754" t="s">
        <v>678</v>
      </c>
      <c r="D754" s="1">
        <v>45239</v>
      </c>
      <c r="E754" t="s">
        <v>1911</v>
      </c>
    </row>
    <row r="755" spans="1:5" x14ac:dyDescent="0.35">
      <c r="A755" s="1">
        <v>45280</v>
      </c>
      <c r="B755" t="s">
        <v>680</v>
      </c>
      <c r="D755" s="1">
        <v>45240</v>
      </c>
      <c r="E755" t="s">
        <v>1308</v>
      </c>
    </row>
    <row r="756" spans="1:5" x14ac:dyDescent="0.35">
      <c r="A756" s="1">
        <v>45281</v>
      </c>
      <c r="B756" t="s">
        <v>681</v>
      </c>
      <c r="D756" s="1">
        <v>45243</v>
      </c>
      <c r="E756" t="s">
        <v>1912</v>
      </c>
    </row>
    <row r="757" spans="1:5" x14ac:dyDescent="0.35">
      <c r="A757" s="1">
        <v>45282</v>
      </c>
      <c r="B757" t="s">
        <v>683</v>
      </c>
      <c r="D757" s="1">
        <v>45244</v>
      </c>
      <c r="E757" t="s">
        <v>1312</v>
      </c>
    </row>
    <row r="758" spans="1:5" x14ac:dyDescent="0.35">
      <c r="A758" s="1">
        <v>45286</v>
      </c>
      <c r="B758" t="s">
        <v>684</v>
      </c>
      <c r="D758" s="1">
        <v>45245</v>
      </c>
      <c r="E758" t="s">
        <v>1202</v>
      </c>
    </row>
    <row r="759" spans="1:5" x14ac:dyDescent="0.35">
      <c r="A759" s="1">
        <v>45287</v>
      </c>
      <c r="B759" t="s">
        <v>685</v>
      </c>
      <c r="D759" s="1">
        <v>45246</v>
      </c>
      <c r="E759" t="s">
        <v>1913</v>
      </c>
    </row>
    <row r="760" spans="1:5" x14ac:dyDescent="0.35">
      <c r="A760" s="1">
        <v>45288</v>
      </c>
      <c r="B760" t="s">
        <v>686</v>
      </c>
      <c r="D760" s="1">
        <v>45247</v>
      </c>
      <c r="E760" t="s">
        <v>1914</v>
      </c>
    </row>
    <row r="761" spans="1:5" x14ac:dyDescent="0.35">
      <c r="A761" s="1">
        <v>45289</v>
      </c>
      <c r="B761" t="s">
        <v>687</v>
      </c>
      <c r="D761" s="1">
        <v>45250</v>
      </c>
      <c r="E761" t="s">
        <v>1915</v>
      </c>
    </row>
    <row r="762" spans="1:5" x14ac:dyDescent="0.35">
      <c r="A762" s="1">
        <v>45293</v>
      </c>
      <c r="B762" t="s">
        <v>688</v>
      </c>
      <c r="D762" s="1">
        <v>45251</v>
      </c>
      <c r="E762" t="s">
        <v>1916</v>
      </c>
    </row>
    <row r="763" spans="1:5" x14ac:dyDescent="0.35">
      <c r="A763" s="1">
        <v>45294</v>
      </c>
      <c r="B763" t="s">
        <v>689</v>
      </c>
      <c r="D763" s="1">
        <v>45252</v>
      </c>
      <c r="E763" t="s">
        <v>1917</v>
      </c>
    </row>
    <row r="764" spans="1:5" x14ac:dyDescent="0.35">
      <c r="A764" s="1">
        <v>45295</v>
      </c>
      <c r="B764" t="s">
        <v>690</v>
      </c>
      <c r="D764" s="1">
        <v>45253</v>
      </c>
      <c r="E764" t="s">
        <v>1918</v>
      </c>
    </row>
    <row r="765" spans="1:5" x14ac:dyDescent="0.35">
      <c r="A765" s="1">
        <v>45296</v>
      </c>
      <c r="B765" t="s">
        <v>691</v>
      </c>
      <c r="D765" s="1">
        <v>45254</v>
      </c>
      <c r="E765" t="s">
        <v>1919</v>
      </c>
    </row>
    <row r="766" spans="1:5" x14ac:dyDescent="0.35">
      <c r="A766" s="1">
        <v>45299</v>
      </c>
      <c r="B766" t="s">
        <v>577</v>
      </c>
      <c r="D766" s="1">
        <v>45257</v>
      </c>
      <c r="E766" t="s">
        <v>1920</v>
      </c>
    </row>
    <row r="767" spans="1:5" x14ac:dyDescent="0.35">
      <c r="A767" s="1">
        <v>45300</v>
      </c>
      <c r="B767" t="s">
        <v>692</v>
      </c>
      <c r="D767" s="1">
        <v>45258</v>
      </c>
      <c r="E767" t="s">
        <v>1921</v>
      </c>
    </row>
    <row r="768" spans="1:5" x14ac:dyDescent="0.35">
      <c r="A768" s="1">
        <v>45301</v>
      </c>
      <c r="B768" t="s">
        <v>693</v>
      </c>
      <c r="D768" s="1">
        <v>45259</v>
      </c>
      <c r="E768" t="s">
        <v>1922</v>
      </c>
    </row>
    <row r="769" spans="1:5" x14ac:dyDescent="0.35">
      <c r="A769" s="1">
        <v>45302</v>
      </c>
      <c r="B769" t="s">
        <v>570</v>
      </c>
      <c r="D769" s="1">
        <v>45260</v>
      </c>
      <c r="E769" t="s">
        <v>1923</v>
      </c>
    </row>
    <row r="770" spans="1:5" x14ac:dyDescent="0.35">
      <c r="A770" s="1">
        <v>45303</v>
      </c>
      <c r="B770" t="s">
        <v>694</v>
      </c>
      <c r="D770" s="1">
        <v>45261</v>
      </c>
      <c r="E770" t="s">
        <v>1924</v>
      </c>
    </row>
    <row r="771" spans="1:5" x14ac:dyDescent="0.35">
      <c r="A771" s="1">
        <v>45307</v>
      </c>
      <c r="B771" t="s">
        <v>695</v>
      </c>
      <c r="D771" s="1">
        <v>45264</v>
      </c>
      <c r="E771" t="s">
        <v>1926</v>
      </c>
    </row>
    <row r="772" spans="1:5" x14ac:dyDescent="0.35">
      <c r="A772" s="1">
        <v>45308</v>
      </c>
      <c r="B772" t="s">
        <v>696</v>
      </c>
      <c r="D772" s="1">
        <v>45265</v>
      </c>
      <c r="E772" t="s">
        <v>1927</v>
      </c>
    </row>
    <row r="773" spans="1:5" x14ac:dyDescent="0.35">
      <c r="A773" s="1">
        <v>45309</v>
      </c>
      <c r="B773" t="s">
        <v>698</v>
      </c>
      <c r="D773" s="1">
        <v>45266</v>
      </c>
      <c r="E773" t="s">
        <v>1928</v>
      </c>
    </row>
    <row r="774" spans="1:5" x14ac:dyDescent="0.35">
      <c r="A774" s="1">
        <v>45310</v>
      </c>
      <c r="B774" t="s">
        <v>697</v>
      </c>
      <c r="D774" s="1">
        <v>45267</v>
      </c>
      <c r="E774" t="s">
        <v>1929</v>
      </c>
    </row>
    <row r="775" spans="1:5" x14ac:dyDescent="0.35">
      <c r="A775" s="1">
        <v>45313</v>
      </c>
      <c r="B775" t="s">
        <v>699</v>
      </c>
      <c r="D775" s="1">
        <v>45268</v>
      </c>
      <c r="E775" t="s">
        <v>1930</v>
      </c>
    </row>
    <row r="776" spans="1:5" x14ac:dyDescent="0.35">
      <c r="A776" s="1">
        <v>45314</v>
      </c>
      <c r="B776" t="s">
        <v>700</v>
      </c>
      <c r="D776" s="1">
        <v>45271</v>
      </c>
      <c r="E776" t="s">
        <v>1931</v>
      </c>
    </row>
    <row r="777" spans="1:5" x14ac:dyDescent="0.35">
      <c r="A777" s="1">
        <v>45315</v>
      </c>
      <c r="B777" t="s">
        <v>701</v>
      </c>
      <c r="D777" s="1">
        <v>45272</v>
      </c>
      <c r="E777" t="s">
        <v>1932</v>
      </c>
    </row>
    <row r="778" spans="1:5" x14ac:dyDescent="0.35">
      <c r="A778" s="1">
        <v>45316</v>
      </c>
      <c r="B778" t="s">
        <v>702</v>
      </c>
      <c r="D778" s="1">
        <v>45273</v>
      </c>
      <c r="E778" t="s">
        <v>1933</v>
      </c>
    </row>
    <row r="779" spans="1:5" x14ac:dyDescent="0.35">
      <c r="A779" s="1">
        <v>45317</v>
      </c>
      <c r="B779" t="s">
        <v>703</v>
      </c>
      <c r="D779" s="1">
        <v>45274</v>
      </c>
      <c r="E779" t="s">
        <v>1934</v>
      </c>
    </row>
    <row r="780" spans="1:5" x14ac:dyDescent="0.35">
      <c r="A780" s="1">
        <v>45320</v>
      </c>
      <c r="B780" t="s">
        <v>679</v>
      </c>
      <c r="D780" s="1">
        <v>45275</v>
      </c>
      <c r="E780" t="s">
        <v>1936</v>
      </c>
    </row>
    <row r="781" spans="1:5" x14ac:dyDescent="0.35">
      <c r="A781" s="1">
        <v>45321</v>
      </c>
      <c r="B781" t="s">
        <v>704</v>
      </c>
      <c r="D781" s="1">
        <v>45278</v>
      </c>
      <c r="E781" t="s">
        <v>1937</v>
      </c>
    </row>
    <row r="782" spans="1:5" x14ac:dyDescent="0.35">
      <c r="A782" s="1">
        <v>45322</v>
      </c>
      <c r="B782" t="s">
        <v>705</v>
      </c>
      <c r="D782" s="1">
        <v>45279</v>
      </c>
      <c r="E782" t="s">
        <v>1938</v>
      </c>
    </row>
    <row r="783" spans="1:5" x14ac:dyDescent="0.35">
      <c r="A783" s="1">
        <v>45323</v>
      </c>
      <c r="B783" t="s">
        <v>706</v>
      </c>
      <c r="D783" s="1">
        <v>45280</v>
      </c>
      <c r="E783" t="s">
        <v>1939</v>
      </c>
    </row>
    <row r="784" spans="1:5" x14ac:dyDescent="0.35">
      <c r="A784" s="1">
        <v>45324</v>
      </c>
      <c r="B784" t="s">
        <v>707</v>
      </c>
      <c r="D784" s="1">
        <v>45281</v>
      </c>
      <c r="E784" t="s">
        <v>1940</v>
      </c>
    </row>
    <row r="785" spans="1:5" x14ac:dyDescent="0.35">
      <c r="A785" s="1">
        <v>45327</v>
      </c>
      <c r="B785" t="s">
        <v>554</v>
      </c>
      <c r="D785" s="1">
        <v>45282</v>
      </c>
      <c r="E785" t="s">
        <v>1844</v>
      </c>
    </row>
    <row r="786" spans="1:5" x14ac:dyDescent="0.35">
      <c r="A786" s="1">
        <v>45328</v>
      </c>
      <c r="B786" t="s">
        <v>680</v>
      </c>
      <c r="D786" s="1">
        <v>45285</v>
      </c>
      <c r="E786" t="s">
        <v>1941</v>
      </c>
    </row>
    <row r="787" spans="1:5" x14ac:dyDescent="0.35">
      <c r="A787" s="1">
        <v>45329</v>
      </c>
      <c r="B787" t="s">
        <v>708</v>
      </c>
      <c r="D787" s="1">
        <v>45286</v>
      </c>
      <c r="E787" t="s">
        <v>1942</v>
      </c>
    </row>
    <row r="788" spans="1:5" x14ac:dyDescent="0.35">
      <c r="A788" s="1">
        <v>45330</v>
      </c>
      <c r="B788" t="s">
        <v>709</v>
      </c>
      <c r="D788" s="1">
        <v>45287</v>
      </c>
      <c r="E788" t="s">
        <v>1943</v>
      </c>
    </row>
    <row r="789" spans="1:5" x14ac:dyDescent="0.35">
      <c r="A789" s="1">
        <v>45331</v>
      </c>
      <c r="B789" t="s">
        <v>549</v>
      </c>
      <c r="D789" s="1">
        <v>45288</v>
      </c>
      <c r="E789" t="s">
        <v>1944</v>
      </c>
    </row>
    <row r="790" spans="1:5" x14ac:dyDescent="0.35">
      <c r="A790" s="1">
        <v>45334</v>
      </c>
      <c r="B790" t="s">
        <v>710</v>
      </c>
      <c r="D790" s="1">
        <v>45289</v>
      </c>
      <c r="E790" t="s">
        <v>1945</v>
      </c>
    </row>
    <row r="791" spans="1:5" x14ac:dyDescent="0.35">
      <c r="A791" s="1">
        <v>45335</v>
      </c>
      <c r="B791" t="s">
        <v>711</v>
      </c>
      <c r="D791" s="1">
        <v>45292</v>
      </c>
      <c r="E791" t="s">
        <v>1946</v>
      </c>
    </row>
    <row r="792" spans="1:5" x14ac:dyDescent="0.35">
      <c r="A792" s="1">
        <v>45336</v>
      </c>
      <c r="B792" t="s">
        <v>660</v>
      </c>
      <c r="D792" s="1">
        <v>45293</v>
      </c>
      <c r="E792" t="s">
        <v>1947</v>
      </c>
    </row>
    <row r="793" spans="1:5" x14ac:dyDescent="0.35">
      <c r="A793" s="1">
        <v>45337</v>
      </c>
      <c r="B793" t="s">
        <v>712</v>
      </c>
      <c r="D793" s="1">
        <v>45294</v>
      </c>
      <c r="E793" t="s">
        <v>1948</v>
      </c>
    </row>
    <row r="794" spans="1:5" x14ac:dyDescent="0.35">
      <c r="A794" s="1">
        <v>45338</v>
      </c>
      <c r="B794" t="s">
        <v>713</v>
      </c>
      <c r="D794" s="1">
        <v>45295</v>
      </c>
      <c r="E794" t="s">
        <v>1949</v>
      </c>
    </row>
    <row r="795" spans="1:5" x14ac:dyDescent="0.35">
      <c r="A795" s="1">
        <v>45342</v>
      </c>
      <c r="B795" t="s">
        <v>714</v>
      </c>
      <c r="D795" s="1">
        <v>45296</v>
      </c>
      <c r="E795" t="s">
        <v>1950</v>
      </c>
    </row>
    <row r="796" spans="1:5" x14ac:dyDescent="0.35">
      <c r="A796" s="1">
        <v>45343</v>
      </c>
      <c r="B796" t="s">
        <v>715</v>
      </c>
      <c r="D796" s="1">
        <v>45299</v>
      </c>
      <c r="E796" t="s">
        <v>1951</v>
      </c>
    </row>
    <row r="797" spans="1:5" x14ac:dyDescent="0.35">
      <c r="A797" s="1">
        <v>45344</v>
      </c>
      <c r="B797" t="s">
        <v>716</v>
      </c>
      <c r="D797" s="1">
        <v>45300</v>
      </c>
      <c r="E797" t="s">
        <v>1952</v>
      </c>
    </row>
    <row r="798" spans="1:5" x14ac:dyDescent="0.35">
      <c r="A798" s="1">
        <v>45345</v>
      </c>
      <c r="B798" t="s">
        <v>717</v>
      </c>
      <c r="D798" s="1">
        <v>45301</v>
      </c>
      <c r="E798" t="s">
        <v>1953</v>
      </c>
    </row>
    <row r="799" spans="1:5" x14ac:dyDescent="0.35">
      <c r="A799" s="1">
        <v>45348</v>
      </c>
      <c r="B799" t="s">
        <v>718</v>
      </c>
      <c r="D799" s="1">
        <v>45302</v>
      </c>
      <c r="E799" t="s">
        <v>1954</v>
      </c>
    </row>
    <row r="800" spans="1:5" x14ac:dyDescent="0.35">
      <c r="A800" s="1">
        <v>45349</v>
      </c>
      <c r="B800" t="s">
        <v>719</v>
      </c>
      <c r="D800" s="1">
        <v>45303</v>
      </c>
      <c r="E800" t="s">
        <v>1955</v>
      </c>
    </row>
    <row r="801" spans="1:5" x14ac:dyDescent="0.35">
      <c r="A801" s="1">
        <v>45350</v>
      </c>
      <c r="B801" t="s">
        <v>682</v>
      </c>
      <c r="D801" s="1">
        <v>45306</v>
      </c>
      <c r="E801" t="s">
        <v>1956</v>
      </c>
    </row>
    <row r="802" spans="1:5" x14ac:dyDescent="0.35">
      <c r="A802" s="1">
        <v>45351</v>
      </c>
      <c r="B802" t="s">
        <v>720</v>
      </c>
      <c r="D802" s="1">
        <v>45307</v>
      </c>
      <c r="E802" t="s">
        <v>1957</v>
      </c>
    </row>
    <row r="803" spans="1:5" x14ac:dyDescent="0.35">
      <c r="A803" s="1">
        <v>45352</v>
      </c>
      <c r="B803" t="s">
        <v>721</v>
      </c>
      <c r="D803" s="1">
        <v>45308</v>
      </c>
      <c r="E803" t="s">
        <v>1958</v>
      </c>
    </row>
    <row r="804" spans="1:5" x14ac:dyDescent="0.35">
      <c r="A804" s="1">
        <v>45355</v>
      </c>
      <c r="B804" t="s">
        <v>722</v>
      </c>
      <c r="D804" s="1">
        <v>45309</v>
      </c>
      <c r="E804" t="s">
        <v>1960</v>
      </c>
    </row>
    <row r="805" spans="1:5" x14ac:dyDescent="0.35">
      <c r="A805" s="1">
        <v>45356</v>
      </c>
      <c r="B805" t="s">
        <v>723</v>
      </c>
      <c r="D805" s="1">
        <v>45310</v>
      </c>
      <c r="E805" t="s">
        <v>1961</v>
      </c>
    </row>
    <row r="806" spans="1:5" x14ac:dyDescent="0.35">
      <c r="A806" s="1">
        <v>45357</v>
      </c>
      <c r="B806" t="s">
        <v>724</v>
      </c>
      <c r="D806" s="1">
        <v>45313</v>
      </c>
      <c r="E806" t="s">
        <v>1962</v>
      </c>
    </row>
    <row r="807" spans="1:5" x14ac:dyDescent="0.35">
      <c r="A807" s="1">
        <v>45358</v>
      </c>
      <c r="B807" t="s">
        <v>725</v>
      </c>
      <c r="D807" s="1">
        <v>45314</v>
      </c>
      <c r="E807" t="s">
        <v>1963</v>
      </c>
    </row>
    <row r="808" spans="1:5" x14ac:dyDescent="0.35">
      <c r="A808" s="1">
        <v>45359</v>
      </c>
      <c r="B808" t="s">
        <v>727</v>
      </c>
      <c r="D808" s="1">
        <v>45315</v>
      </c>
      <c r="E808" t="s">
        <v>1925</v>
      </c>
    </row>
    <row r="809" spans="1:5" x14ac:dyDescent="0.35">
      <c r="A809" s="1">
        <v>45362</v>
      </c>
      <c r="B809" t="s">
        <v>728</v>
      </c>
      <c r="D809" s="1">
        <v>45316</v>
      </c>
      <c r="E809" t="s">
        <v>1964</v>
      </c>
    </row>
    <row r="810" spans="1:5" x14ac:dyDescent="0.35">
      <c r="A810" s="1">
        <v>45363</v>
      </c>
      <c r="B810" t="s">
        <v>729</v>
      </c>
      <c r="D810" s="1">
        <v>45317</v>
      </c>
      <c r="E810" t="s">
        <v>1965</v>
      </c>
    </row>
    <row r="811" spans="1:5" x14ac:dyDescent="0.35">
      <c r="A811" s="1">
        <v>45364</v>
      </c>
      <c r="B811" t="s">
        <v>730</v>
      </c>
      <c r="D811" s="1">
        <v>45320</v>
      </c>
      <c r="E811" t="s">
        <v>1966</v>
      </c>
    </row>
    <row r="812" spans="1:5" x14ac:dyDescent="0.35">
      <c r="A812" s="1">
        <v>45365</v>
      </c>
      <c r="B812" t="s">
        <v>726</v>
      </c>
      <c r="D812" s="1">
        <v>45321</v>
      </c>
      <c r="E812" t="s">
        <v>1967</v>
      </c>
    </row>
    <row r="813" spans="1:5" x14ac:dyDescent="0.35">
      <c r="A813" s="1">
        <v>45366</v>
      </c>
      <c r="B813" t="s">
        <v>731</v>
      </c>
      <c r="D813" s="1">
        <v>45322</v>
      </c>
      <c r="E813" t="s">
        <v>1968</v>
      </c>
    </row>
    <row r="814" spans="1:5" x14ac:dyDescent="0.35">
      <c r="A814" s="1">
        <v>45369</v>
      </c>
      <c r="B814" t="s">
        <v>732</v>
      </c>
      <c r="D814" s="1">
        <v>45323</v>
      </c>
      <c r="E814" t="s">
        <v>1969</v>
      </c>
    </row>
    <row r="815" spans="1:5" x14ac:dyDescent="0.35">
      <c r="A815" s="1">
        <v>45370</v>
      </c>
      <c r="B815" t="s">
        <v>733</v>
      </c>
      <c r="D815" s="1">
        <v>45324</v>
      </c>
      <c r="E815" t="s">
        <v>1970</v>
      </c>
    </row>
    <row r="816" spans="1:5" x14ac:dyDescent="0.35">
      <c r="A816" s="1">
        <v>45371</v>
      </c>
      <c r="B816" t="s">
        <v>734</v>
      </c>
      <c r="D816" s="1">
        <v>45327</v>
      </c>
      <c r="E816" t="s">
        <v>1971</v>
      </c>
    </row>
    <row r="817" spans="1:5" x14ac:dyDescent="0.35">
      <c r="A817" s="1">
        <v>45372</v>
      </c>
      <c r="B817" t="s">
        <v>735</v>
      </c>
      <c r="D817" s="1">
        <v>45328</v>
      </c>
      <c r="E817" t="s">
        <v>1972</v>
      </c>
    </row>
    <row r="818" spans="1:5" x14ac:dyDescent="0.35">
      <c r="A818" s="1">
        <v>45373</v>
      </c>
      <c r="B818" t="s">
        <v>736</v>
      </c>
      <c r="D818" s="1">
        <v>45329</v>
      </c>
      <c r="E818" t="s">
        <v>1974</v>
      </c>
    </row>
    <row r="819" spans="1:5" x14ac:dyDescent="0.35">
      <c r="A819" s="1">
        <v>45376</v>
      </c>
      <c r="B819" t="s">
        <v>737</v>
      </c>
      <c r="D819" s="1">
        <v>45330</v>
      </c>
      <c r="E819" t="s">
        <v>1973</v>
      </c>
    </row>
    <row r="820" spans="1:5" x14ac:dyDescent="0.35">
      <c r="A820" s="1">
        <v>45377</v>
      </c>
      <c r="B820" t="s">
        <v>738</v>
      </c>
      <c r="D820" s="1">
        <v>45331</v>
      </c>
      <c r="E820" t="s">
        <v>1975</v>
      </c>
    </row>
    <row r="821" spans="1:5" x14ac:dyDescent="0.35">
      <c r="A821" s="1">
        <v>45378</v>
      </c>
      <c r="B821" t="s">
        <v>739</v>
      </c>
      <c r="D821" s="1">
        <v>45334</v>
      </c>
      <c r="E821" t="s">
        <v>1976</v>
      </c>
    </row>
    <row r="822" spans="1:5" x14ac:dyDescent="0.35">
      <c r="A822" s="1">
        <v>45379</v>
      </c>
      <c r="B822" t="s">
        <v>740</v>
      </c>
      <c r="D822" s="1">
        <v>45335</v>
      </c>
      <c r="E822" t="s">
        <v>1873</v>
      </c>
    </row>
    <row r="823" spans="1:5" x14ac:dyDescent="0.35">
      <c r="A823" s="1">
        <v>45383</v>
      </c>
      <c r="B823" t="s">
        <v>741</v>
      </c>
      <c r="D823" s="1">
        <v>45336</v>
      </c>
      <c r="E823" t="s">
        <v>1187</v>
      </c>
    </row>
    <row r="824" spans="1:5" x14ac:dyDescent="0.35">
      <c r="A824" s="1">
        <v>45384</v>
      </c>
      <c r="B824" t="s">
        <v>742</v>
      </c>
      <c r="D824" s="1">
        <v>45337</v>
      </c>
      <c r="E824" t="s">
        <v>1171</v>
      </c>
    </row>
    <row r="825" spans="1:5" x14ac:dyDescent="0.35">
      <c r="A825" s="1">
        <v>45385</v>
      </c>
      <c r="B825" t="s">
        <v>743</v>
      </c>
      <c r="D825" s="1">
        <v>45338</v>
      </c>
      <c r="E825" t="s">
        <v>1857</v>
      </c>
    </row>
    <row r="826" spans="1:5" x14ac:dyDescent="0.35">
      <c r="A826" s="1">
        <v>45386</v>
      </c>
      <c r="B826" t="s">
        <v>744</v>
      </c>
      <c r="D826" s="1">
        <v>45341</v>
      </c>
      <c r="E826" t="s">
        <v>1977</v>
      </c>
    </row>
    <row r="827" spans="1:5" x14ac:dyDescent="0.35">
      <c r="A827" s="1">
        <v>45387</v>
      </c>
      <c r="B827" t="s">
        <v>745</v>
      </c>
      <c r="D827" s="1">
        <v>45342</v>
      </c>
      <c r="E827" t="s">
        <v>1978</v>
      </c>
    </row>
    <row r="828" spans="1:5" x14ac:dyDescent="0.35">
      <c r="A828" s="1">
        <v>45390</v>
      </c>
      <c r="B828" t="s">
        <v>746</v>
      </c>
      <c r="D828" s="1">
        <v>45343</v>
      </c>
      <c r="E828" t="s">
        <v>1979</v>
      </c>
    </row>
    <row r="829" spans="1:5" x14ac:dyDescent="0.35">
      <c r="A829" s="1">
        <v>45391</v>
      </c>
      <c r="B829" t="s">
        <v>747</v>
      </c>
      <c r="D829" s="1">
        <v>45344</v>
      </c>
      <c r="E829" t="s">
        <v>1980</v>
      </c>
    </row>
    <row r="830" spans="1:5" x14ac:dyDescent="0.35">
      <c r="A830" s="1">
        <v>45392</v>
      </c>
      <c r="B830" t="s">
        <v>748</v>
      </c>
      <c r="D830" s="1">
        <v>45345</v>
      </c>
      <c r="E830" t="s">
        <v>1981</v>
      </c>
    </row>
    <row r="831" spans="1:5" x14ac:dyDescent="0.35">
      <c r="A831" s="1">
        <v>45393</v>
      </c>
      <c r="B831" t="s">
        <v>751</v>
      </c>
      <c r="D831" s="1">
        <v>45348</v>
      </c>
      <c r="E831" t="s">
        <v>1180</v>
      </c>
    </row>
    <row r="832" spans="1:5" x14ac:dyDescent="0.35">
      <c r="A832" s="1">
        <v>45394</v>
      </c>
      <c r="B832" t="s">
        <v>752</v>
      </c>
      <c r="D832" s="1">
        <v>45349</v>
      </c>
      <c r="E832" t="s">
        <v>1982</v>
      </c>
    </row>
    <row r="833" spans="1:5" x14ac:dyDescent="0.35">
      <c r="A833" s="1">
        <v>45397</v>
      </c>
      <c r="B833" t="s">
        <v>754</v>
      </c>
      <c r="D833" s="1">
        <v>45350</v>
      </c>
      <c r="E833" t="s">
        <v>1983</v>
      </c>
    </row>
    <row r="834" spans="1:5" x14ac:dyDescent="0.35">
      <c r="A834" s="1">
        <v>45398</v>
      </c>
      <c r="B834" t="s">
        <v>755</v>
      </c>
      <c r="D834" s="1">
        <v>45351</v>
      </c>
      <c r="E834" t="s">
        <v>1984</v>
      </c>
    </row>
    <row r="835" spans="1:5" x14ac:dyDescent="0.35">
      <c r="A835" s="1">
        <v>45399</v>
      </c>
      <c r="B835" t="s">
        <v>756</v>
      </c>
      <c r="D835" s="1">
        <v>45352</v>
      </c>
      <c r="E835" t="s">
        <v>1985</v>
      </c>
    </row>
    <row r="836" spans="1:5" x14ac:dyDescent="0.35">
      <c r="A836" s="1">
        <v>45400</v>
      </c>
      <c r="B836" t="s">
        <v>757</v>
      </c>
      <c r="D836" s="1">
        <v>45355</v>
      </c>
      <c r="E836" t="s">
        <v>1986</v>
      </c>
    </row>
    <row r="837" spans="1:5" x14ac:dyDescent="0.35">
      <c r="A837" s="1">
        <v>45401</v>
      </c>
      <c r="B837" t="s">
        <v>758</v>
      </c>
      <c r="D837" s="1">
        <v>45356</v>
      </c>
      <c r="E837" t="s">
        <v>1789</v>
      </c>
    </row>
    <row r="838" spans="1:5" x14ac:dyDescent="0.35">
      <c r="A838" s="1">
        <v>45404</v>
      </c>
      <c r="B838" t="s">
        <v>759</v>
      </c>
      <c r="D838" s="1">
        <v>45357</v>
      </c>
      <c r="E838" t="s">
        <v>1987</v>
      </c>
    </row>
    <row r="839" spans="1:5" x14ac:dyDescent="0.35">
      <c r="A839" s="1">
        <v>45405</v>
      </c>
      <c r="B839" t="s">
        <v>749</v>
      </c>
      <c r="D839" s="1">
        <v>45358</v>
      </c>
      <c r="E839" t="s">
        <v>1988</v>
      </c>
    </row>
    <row r="840" spans="1:5" x14ac:dyDescent="0.35">
      <c r="A840" s="1">
        <v>45406</v>
      </c>
      <c r="B840" t="s">
        <v>760</v>
      </c>
      <c r="D840" s="1">
        <v>45359</v>
      </c>
      <c r="E840" t="s">
        <v>1989</v>
      </c>
    </row>
    <row r="841" spans="1:5" x14ac:dyDescent="0.35">
      <c r="A841" s="1">
        <v>45407</v>
      </c>
      <c r="B841" t="s">
        <v>761</v>
      </c>
      <c r="D841" s="1">
        <v>45362</v>
      </c>
      <c r="E841" t="s">
        <v>1990</v>
      </c>
    </row>
    <row r="842" spans="1:5" x14ac:dyDescent="0.35">
      <c r="A842" s="1">
        <v>45408</v>
      </c>
      <c r="B842" t="s">
        <v>762</v>
      </c>
      <c r="D842" s="1">
        <v>45363</v>
      </c>
      <c r="E842" t="s">
        <v>1991</v>
      </c>
    </row>
    <row r="843" spans="1:5" x14ac:dyDescent="0.35">
      <c r="A843" s="1">
        <v>45411</v>
      </c>
      <c r="B843" t="s">
        <v>763</v>
      </c>
      <c r="D843" s="1">
        <v>45364</v>
      </c>
      <c r="E843" t="s">
        <v>1992</v>
      </c>
    </row>
    <row r="844" spans="1:5" x14ac:dyDescent="0.35">
      <c r="A844" s="1">
        <v>45412</v>
      </c>
      <c r="B844" t="s">
        <v>764</v>
      </c>
      <c r="D844" s="1">
        <v>45365</v>
      </c>
      <c r="E844" t="s">
        <v>1993</v>
      </c>
    </row>
    <row r="845" spans="1:5" x14ac:dyDescent="0.35">
      <c r="A845" s="1">
        <v>45413</v>
      </c>
      <c r="B845" t="s">
        <v>765</v>
      </c>
      <c r="D845" s="1">
        <v>45366</v>
      </c>
      <c r="E845" t="s">
        <v>1994</v>
      </c>
    </row>
    <row r="846" spans="1:5" x14ac:dyDescent="0.35">
      <c r="A846" s="1">
        <v>45414</v>
      </c>
      <c r="B846" t="s">
        <v>766</v>
      </c>
      <c r="D846" s="1">
        <v>45369</v>
      </c>
      <c r="E846" t="s">
        <v>1995</v>
      </c>
    </row>
    <row r="847" spans="1:5" x14ac:dyDescent="0.35">
      <c r="A847" s="1">
        <v>45415</v>
      </c>
      <c r="B847" t="s">
        <v>767</v>
      </c>
      <c r="D847" s="1">
        <v>45370</v>
      </c>
      <c r="E847" t="s">
        <v>1996</v>
      </c>
    </row>
    <row r="848" spans="1:5" x14ac:dyDescent="0.35">
      <c r="A848" s="1">
        <v>45418</v>
      </c>
      <c r="B848" t="s">
        <v>768</v>
      </c>
      <c r="D848" s="1">
        <v>45371</v>
      </c>
      <c r="E848" t="s">
        <v>1997</v>
      </c>
    </row>
    <row r="849" spans="1:5" x14ac:dyDescent="0.35">
      <c r="A849" s="1">
        <v>45419</v>
      </c>
      <c r="B849" t="s">
        <v>770</v>
      </c>
      <c r="D849" s="1">
        <v>45372</v>
      </c>
      <c r="E849" t="s">
        <v>1998</v>
      </c>
    </row>
    <row r="850" spans="1:5" x14ac:dyDescent="0.35">
      <c r="A850" s="1">
        <v>45420</v>
      </c>
      <c r="B850" t="s">
        <v>771</v>
      </c>
      <c r="D850" s="1">
        <v>45373</v>
      </c>
      <c r="E850" t="s">
        <v>1999</v>
      </c>
    </row>
    <row r="851" spans="1:5" x14ac:dyDescent="0.35">
      <c r="A851" s="1">
        <v>45421</v>
      </c>
      <c r="B851" t="s">
        <v>772</v>
      </c>
      <c r="D851" s="1">
        <v>45376</v>
      </c>
      <c r="E851" t="s">
        <v>2000</v>
      </c>
    </row>
    <row r="852" spans="1:5" x14ac:dyDescent="0.35">
      <c r="A852" s="1">
        <v>45422</v>
      </c>
      <c r="B852" t="s">
        <v>773</v>
      </c>
      <c r="D852" s="1">
        <v>45377</v>
      </c>
      <c r="E852" t="s">
        <v>1225</v>
      </c>
    </row>
    <row r="853" spans="1:5" x14ac:dyDescent="0.35">
      <c r="A853" s="1">
        <v>45425</v>
      </c>
      <c r="B853" t="s">
        <v>774</v>
      </c>
      <c r="D853" s="1">
        <v>45378</v>
      </c>
      <c r="E853" t="s">
        <v>2001</v>
      </c>
    </row>
    <row r="854" spans="1:5" x14ac:dyDescent="0.35">
      <c r="A854" s="1">
        <v>45426</v>
      </c>
      <c r="B854" t="s">
        <v>775</v>
      </c>
      <c r="D854" s="1">
        <v>45379</v>
      </c>
      <c r="E854" t="s">
        <v>2002</v>
      </c>
    </row>
    <row r="855" spans="1:5" x14ac:dyDescent="0.35">
      <c r="A855" s="1">
        <v>45427</v>
      </c>
      <c r="B855" t="s">
        <v>777</v>
      </c>
      <c r="D855" s="1">
        <v>45380</v>
      </c>
      <c r="E855" t="s">
        <v>2003</v>
      </c>
    </row>
    <row r="856" spans="1:5" x14ac:dyDescent="0.35">
      <c r="A856" s="1">
        <v>45428</v>
      </c>
      <c r="B856" t="s">
        <v>778</v>
      </c>
      <c r="D856" s="1">
        <v>45383</v>
      </c>
      <c r="E856" t="s">
        <v>2004</v>
      </c>
    </row>
    <row r="857" spans="1:5" x14ac:dyDescent="0.35">
      <c r="A857" s="1">
        <v>45429</v>
      </c>
      <c r="B857" t="s">
        <v>779</v>
      </c>
      <c r="D857" s="1">
        <v>45384</v>
      </c>
      <c r="E857" t="s">
        <v>2005</v>
      </c>
    </row>
    <row r="858" spans="1:5" x14ac:dyDescent="0.35">
      <c r="A858" s="1">
        <v>45432</v>
      </c>
      <c r="B858" t="s">
        <v>780</v>
      </c>
      <c r="D858" s="1">
        <v>45385</v>
      </c>
      <c r="E858" t="s">
        <v>1903</v>
      </c>
    </row>
    <row r="859" spans="1:5" x14ac:dyDescent="0.35">
      <c r="A859" s="1">
        <v>45433</v>
      </c>
      <c r="B859" t="s">
        <v>781</v>
      </c>
      <c r="D859" s="1">
        <v>45386</v>
      </c>
      <c r="E859" t="s">
        <v>2006</v>
      </c>
    </row>
    <row r="860" spans="1:5" x14ac:dyDescent="0.35">
      <c r="A860" s="1">
        <v>45434</v>
      </c>
      <c r="B860" t="s">
        <v>782</v>
      </c>
      <c r="D860" s="1">
        <v>45387</v>
      </c>
      <c r="E860" t="s">
        <v>2007</v>
      </c>
    </row>
    <row r="861" spans="1:5" x14ac:dyDescent="0.35">
      <c r="A861" s="1">
        <v>45435</v>
      </c>
      <c r="B861" t="s">
        <v>783</v>
      </c>
      <c r="D861" s="1">
        <v>45390</v>
      </c>
      <c r="E861" t="s">
        <v>2008</v>
      </c>
    </row>
    <row r="862" spans="1:5" x14ac:dyDescent="0.35">
      <c r="A862" s="1">
        <v>45436</v>
      </c>
      <c r="B862" t="s">
        <v>784</v>
      </c>
      <c r="D862" s="1">
        <v>45391</v>
      </c>
      <c r="E862" t="s">
        <v>2009</v>
      </c>
    </row>
    <row r="863" spans="1:5" x14ac:dyDescent="0.35">
      <c r="A863" s="1">
        <v>45440</v>
      </c>
      <c r="B863" t="s">
        <v>785</v>
      </c>
      <c r="D863" s="1">
        <v>45392</v>
      </c>
      <c r="E863" t="s">
        <v>2010</v>
      </c>
    </row>
    <row r="864" spans="1:5" x14ac:dyDescent="0.35">
      <c r="A864" s="1">
        <v>45441</v>
      </c>
      <c r="B864" t="s">
        <v>786</v>
      </c>
      <c r="D864" s="1">
        <v>45393</v>
      </c>
      <c r="E864" t="s">
        <v>1300</v>
      </c>
    </row>
    <row r="865" spans="1:5" x14ac:dyDescent="0.35">
      <c r="A865" s="1">
        <v>45442</v>
      </c>
      <c r="B865" t="s">
        <v>787</v>
      </c>
      <c r="D865" s="1">
        <v>45394</v>
      </c>
      <c r="E865" t="s">
        <v>2011</v>
      </c>
    </row>
    <row r="866" spans="1:5" x14ac:dyDescent="0.35">
      <c r="A866" s="1">
        <v>45443</v>
      </c>
      <c r="B866" t="s">
        <v>788</v>
      </c>
      <c r="D866" s="1">
        <v>45397</v>
      </c>
      <c r="E866" t="s">
        <v>2012</v>
      </c>
    </row>
    <row r="867" spans="1:5" x14ac:dyDescent="0.35">
      <c r="A867" s="1">
        <v>45446</v>
      </c>
      <c r="B867" t="s">
        <v>750</v>
      </c>
      <c r="D867" s="1">
        <v>45398</v>
      </c>
      <c r="E867" t="s">
        <v>1893</v>
      </c>
    </row>
    <row r="868" spans="1:5" x14ac:dyDescent="0.35">
      <c r="A868" s="1">
        <v>45447</v>
      </c>
      <c r="B868" t="s">
        <v>769</v>
      </c>
      <c r="D868" s="1">
        <v>45399</v>
      </c>
      <c r="E868" t="s">
        <v>2014</v>
      </c>
    </row>
    <row r="869" spans="1:5" x14ac:dyDescent="0.35">
      <c r="A869" s="1">
        <v>45448</v>
      </c>
      <c r="B869" t="s">
        <v>789</v>
      </c>
      <c r="D869" s="1">
        <v>45400</v>
      </c>
      <c r="E869" t="s">
        <v>1449</v>
      </c>
    </row>
    <row r="870" spans="1:5" x14ac:dyDescent="0.35">
      <c r="A870" s="1">
        <v>45449</v>
      </c>
      <c r="B870" t="s">
        <v>790</v>
      </c>
      <c r="D870" s="1">
        <v>45401</v>
      </c>
      <c r="E870" t="s">
        <v>2013</v>
      </c>
    </row>
    <row r="871" spans="1:5" x14ac:dyDescent="0.35">
      <c r="A871" s="1">
        <v>45450</v>
      </c>
      <c r="B871" t="s">
        <v>791</v>
      </c>
      <c r="D871" s="1">
        <v>45404</v>
      </c>
      <c r="E871" t="s">
        <v>2016</v>
      </c>
    </row>
    <row r="872" spans="1:5" x14ac:dyDescent="0.35">
      <c r="A872" s="1">
        <v>45453</v>
      </c>
      <c r="B872" t="s">
        <v>792</v>
      </c>
      <c r="D872" s="1">
        <v>45405</v>
      </c>
      <c r="E872" t="s">
        <v>2017</v>
      </c>
    </row>
    <row r="873" spans="1:5" x14ac:dyDescent="0.35">
      <c r="A873" s="1">
        <v>45454</v>
      </c>
      <c r="B873" t="s">
        <v>793</v>
      </c>
      <c r="D873" s="1">
        <v>45406</v>
      </c>
      <c r="E873" t="s">
        <v>1406</v>
      </c>
    </row>
    <row r="874" spans="1:5" x14ac:dyDescent="0.35">
      <c r="A874" s="1">
        <v>45455</v>
      </c>
      <c r="B874" t="s">
        <v>776</v>
      </c>
      <c r="D874" s="1">
        <v>45407</v>
      </c>
      <c r="E874" t="s">
        <v>2018</v>
      </c>
    </row>
    <row r="875" spans="1:5" x14ac:dyDescent="0.35">
      <c r="A875" s="1">
        <v>45456</v>
      </c>
      <c r="B875" t="s">
        <v>794</v>
      </c>
      <c r="D875" s="1">
        <v>45408</v>
      </c>
      <c r="E875" t="s">
        <v>2019</v>
      </c>
    </row>
    <row r="876" spans="1:5" x14ac:dyDescent="0.35">
      <c r="A876" s="1">
        <v>45457</v>
      </c>
      <c r="B876" t="s">
        <v>795</v>
      </c>
      <c r="D876" s="1">
        <v>45411</v>
      </c>
      <c r="E876" t="s">
        <v>2020</v>
      </c>
    </row>
    <row r="877" spans="1:5" x14ac:dyDescent="0.35">
      <c r="A877" s="1">
        <v>45460</v>
      </c>
      <c r="B877" t="s">
        <v>796</v>
      </c>
      <c r="D877" s="1">
        <v>45412</v>
      </c>
      <c r="E877" t="s">
        <v>2021</v>
      </c>
    </row>
    <row r="878" spans="1:5" x14ac:dyDescent="0.35">
      <c r="A878" s="1">
        <v>45461</v>
      </c>
      <c r="B878" t="s">
        <v>797</v>
      </c>
      <c r="D878" s="1">
        <v>45413</v>
      </c>
      <c r="E878" t="s">
        <v>1392</v>
      </c>
    </row>
    <row r="879" spans="1:5" x14ac:dyDescent="0.35">
      <c r="A879" s="1">
        <v>45463</v>
      </c>
      <c r="B879" t="s">
        <v>798</v>
      </c>
      <c r="D879" s="1">
        <v>45414</v>
      </c>
      <c r="E879" t="s">
        <v>1360</v>
      </c>
    </row>
    <row r="880" spans="1:5" x14ac:dyDescent="0.35">
      <c r="A880" s="1">
        <v>45464</v>
      </c>
      <c r="B880" t="s">
        <v>799</v>
      </c>
      <c r="D880" s="1">
        <v>45415</v>
      </c>
      <c r="E880" t="s">
        <v>2022</v>
      </c>
    </row>
    <row r="881" spans="1:5" x14ac:dyDescent="0.35">
      <c r="A881" s="1">
        <v>45467</v>
      </c>
      <c r="B881" t="s">
        <v>800</v>
      </c>
      <c r="D881" s="1">
        <v>45418</v>
      </c>
      <c r="E881" t="s">
        <v>1311</v>
      </c>
    </row>
    <row r="882" spans="1:5" x14ac:dyDescent="0.35">
      <c r="A882" s="1">
        <v>45468</v>
      </c>
      <c r="B882" t="s">
        <v>801</v>
      </c>
      <c r="D882" s="1">
        <v>45419</v>
      </c>
      <c r="E882" t="s">
        <v>2023</v>
      </c>
    </row>
    <row r="883" spans="1:5" x14ac:dyDescent="0.35">
      <c r="A883" s="1">
        <v>45469</v>
      </c>
      <c r="B883" t="s">
        <v>766</v>
      </c>
      <c r="D883" s="1">
        <v>45420</v>
      </c>
      <c r="E883" t="s">
        <v>2024</v>
      </c>
    </row>
    <row r="884" spans="1:5" x14ac:dyDescent="0.35">
      <c r="A884" s="1">
        <v>45470</v>
      </c>
      <c r="B884" t="s">
        <v>760</v>
      </c>
      <c r="D884" s="1">
        <v>45421</v>
      </c>
      <c r="E884" t="s">
        <v>2025</v>
      </c>
    </row>
    <row r="885" spans="1:5" x14ac:dyDescent="0.35">
      <c r="A885" s="1">
        <v>45471</v>
      </c>
      <c r="B885" t="s">
        <v>749</v>
      </c>
      <c r="D885" s="1">
        <v>45422</v>
      </c>
      <c r="E885" t="s">
        <v>2026</v>
      </c>
    </row>
    <row r="886" spans="1:5" x14ac:dyDescent="0.35">
      <c r="A886" s="1">
        <v>45474</v>
      </c>
      <c r="B886" t="s">
        <v>802</v>
      </c>
      <c r="D886" s="1">
        <v>45425</v>
      </c>
      <c r="E886" t="s">
        <v>2027</v>
      </c>
    </row>
    <row r="887" spans="1:5" x14ac:dyDescent="0.35">
      <c r="A887" s="1">
        <v>45475</v>
      </c>
      <c r="B887" t="s">
        <v>803</v>
      </c>
      <c r="D887" s="1">
        <v>45426</v>
      </c>
      <c r="E887" t="s">
        <v>2015</v>
      </c>
    </row>
    <row r="888" spans="1:5" x14ac:dyDescent="0.35">
      <c r="A888" s="1">
        <v>45476</v>
      </c>
      <c r="B888" t="s">
        <v>804</v>
      </c>
      <c r="D888" s="1">
        <v>45427</v>
      </c>
      <c r="E888" t="s">
        <v>2023</v>
      </c>
    </row>
    <row r="889" spans="1:5" x14ac:dyDescent="0.35">
      <c r="A889" s="1">
        <v>45478</v>
      </c>
      <c r="B889" t="s">
        <v>805</v>
      </c>
      <c r="D889" s="1">
        <v>45428</v>
      </c>
      <c r="E889" t="s">
        <v>2029</v>
      </c>
    </row>
    <row r="890" spans="1:5" x14ac:dyDescent="0.35">
      <c r="A890" s="1">
        <v>45481</v>
      </c>
      <c r="B890" t="s">
        <v>785</v>
      </c>
      <c r="D890" s="1">
        <v>45429</v>
      </c>
      <c r="E890" t="s">
        <v>2030</v>
      </c>
    </row>
    <row r="891" spans="1:5" x14ac:dyDescent="0.35">
      <c r="A891" s="1">
        <v>45482</v>
      </c>
      <c r="B891" t="s">
        <v>806</v>
      </c>
      <c r="D891" s="1">
        <v>45432</v>
      </c>
      <c r="E891" t="s">
        <v>1297</v>
      </c>
    </row>
    <row r="892" spans="1:5" x14ac:dyDescent="0.35">
      <c r="A892" s="1">
        <v>45483</v>
      </c>
      <c r="B892" t="s">
        <v>807</v>
      </c>
      <c r="D892" s="1">
        <v>45433</v>
      </c>
      <c r="E892" t="s">
        <v>2031</v>
      </c>
    </row>
    <row r="893" spans="1:5" x14ac:dyDescent="0.35">
      <c r="A893" s="1">
        <v>45484</v>
      </c>
      <c r="B893" t="s">
        <v>808</v>
      </c>
      <c r="D893" s="1">
        <v>45434</v>
      </c>
      <c r="E893" t="s">
        <v>2032</v>
      </c>
    </row>
    <row r="894" spans="1:5" x14ac:dyDescent="0.35">
      <c r="A894" s="1">
        <v>45485</v>
      </c>
      <c r="B894" t="s">
        <v>809</v>
      </c>
      <c r="D894" s="1">
        <v>45435</v>
      </c>
      <c r="E894" t="s">
        <v>1237</v>
      </c>
    </row>
    <row r="895" spans="1:5" x14ac:dyDescent="0.35">
      <c r="A895" s="1">
        <v>45488</v>
      </c>
      <c r="B895" t="s">
        <v>810</v>
      </c>
      <c r="D895" s="1">
        <v>45436</v>
      </c>
      <c r="E895" t="s">
        <v>2033</v>
      </c>
    </row>
    <row r="896" spans="1:5" x14ac:dyDescent="0.35">
      <c r="A896" s="1">
        <v>45489</v>
      </c>
      <c r="B896" t="s">
        <v>811</v>
      </c>
      <c r="D896" s="1">
        <v>45439</v>
      </c>
      <c r="E896" t="s">
        <v>1371</v>
      </c>
    </row>
    <row r="897" spans="1:5" x14ac:dyDescent="0.35">
      <c r="A897" s="1">
        <v>45490</v>
      </c>
      <c r="B897" t="s">
        <v>812</v>
      </c>
      <c r="D897" s="1">
        <v>45440</v>
      </c>
      <c r="E897" t="s">
        <v>1355</v>
      </c>
    </row>
    <row r="898" spans="1:5" x14ac:dyDescent="0.35">
      <c r="A898" s="1">
        <v>45491</v>
      </c>
      <c r="B898" t="s">
        <v>813</v>
      </c>
      <c r="D898" s="1">
        <v>45441</v>
      </c>
      <c r="E898" t="s">
        <v>1760</v>
      </c>
    </row>
    <row r="899" spans="1:5" x14ac:dyDescent="0.35">
      <c r="A899" s="1">
        <v>45492</v>
      </c>
      <c r="B899" t="s">
        <v>814</v>
      </c>
      <c r="D899" s="1">
        <v>45442</v>
      </c>
      <c r="E899" t="s">
        <v>2034</v>
      </c>
    </row>
    <row r="900" spans="1:5" x14ac:dyDescent="0.35">
      <c r="A900" s="1">
        <v>45495</v>
      </c>
      <c r="B900" t="s">
        <v>815</v>
      </c>
      <c r="D900" s="1">
        <v>45443</v>
      </c>
      <c r="E900" t="s">
        <v>2035</v>
      </c>
    </row>
    <row r="901" spans="1:5" x14ac:dyDescent="0.35">
      <c r="A901" s="1">
        <v>45496</v>
      </c>
      <c r="B901" t="s">
        <v>816</v>
      </c>
      <c r="D901" s="1">
        <v>45446</v>
      </c>
      <c r="E901" t="s">
        <v>2037</v>
      </c>
    </row>
    <row r="902" spans="1:5" x14ac:dyDescent="0.35">
      <c r="A902" s="1">
        <v>45497</v>
      </c>
      <c r="B902" t="s">
        <v>817</v>
      </c>
      <c r="D902" s="1">
        <v>45447</v>
      </c>
      <c r="E902" t="s">
        <v>2038</v>
      </c>
    </row>
    <row r="903" spans="1:5" x14ac:dyDescent="0.35">
      <c r="A903" s="1">
        <v>45498</v>
      </c>
      <c r="B903" t="s">
        <v>818</v>
      </c>
      <c r="D903" s="1">
        <v>45448</v>
      </c>
      <c r="E903" t="s">
        <v>2039</v>
      </c>
    </row>
    <row r="904" spans="1:5" x14ac:dyDescent="0.35">
      <c r="A904" s="1">
        <v>45499</v>
      </c>
      <c r="B904" t="s">
        <v>778</v>
      </c>
      <c r="D904" s="1">
        <v>45449</v>
      </c>
      <c r="E904" t="s">
        <v>1781</v>
      </c>
    </row>
    <row r="905" spans="1:5" x14ac:dyDescent="0.35">
      <c r="A905" s="1">
        <v>45502</v>
      </c>
      <c r="B905" t="s">
        <v>753</v>
      </c>
      <c r="D905" s="1">
        <v>45450</v>
      </c>
      <c r="E905" t="s">
        <v>2041</v>
      </c>
    </row>
    <row r="906" spans="1:5" x14ac:dyDescent="0.35">
      <c r="A906" s="1">
        <v>45503</v>
      </c>
      <c r="B906" t="s">
        <v>819</v>
      </c>
      <c r="D906" s="1">
        <v>45453</v>
      </c>
      <c r="E906" t="s">
        <v>2042</v>
      </c>
    </row>
    <row r="907" spans="1:5" x14ac:dyDescent="0.35">
      <c r="A907" s="1">
        <v>45504</v>
      </c>
      <c r="B907" t="s">
        <v>820</v>
      </c>
      <c r="D907" s="1">
        <v>45454</v>
      </c>
      <c r="E907" t="s">
        <v>1784</v>
      </c>
    </row>
    <row r="908" spans="1:5" x14ac:dyDescent="0.35">
      <c r="A908" s="1">
        <v>45505</v>
      </c>
      <c r="B908" t="s">
        <v>821</v>
      </c>
      <c r="D908" s="1">
        <v>45455</v>
      </c>
      <c r="E908" t="s">
        <v>2043</v>
      </c>
    </row>
    <row r="909" spans="1:5" x14ac:dyDescent="0.35">
      <c r="A909" s="1">
        <v>45506</v>
      </c>
      <c r="B909" t="s">
        <v>822</v>
      </c>
      <c r="D909" s="1">
        <v>45456</v>
      </c>
      <c r="E909" t="s">
        <v>2044</v>
      </c>
    </row>
    <row r="910" spans="1:5" x14ac:dyDescent="0.35">
      <c r="A910" s="1">
        <v>45509</v>
      </c>
      <c r="B910" t="s">
        <v>823</v>
      </c>
      <c r="D910" s="1">
        <v>45457</v>
      </c>
      <c r="E910" t="s">
        <v>2045</v>
      </c>
    </row>
    <row r="911" spans="1:5" x14ac:dyDescent="0.35">
      <c r="A911" s="1">
        <v>45510</v>
      </c>
      <c r="B911" t="s">
        <v>824</v>
      </c>
      <c r="D911" s="1">
        <v>45460</v>
      </c>
      <c r="E911" t="s">
        <v>1825</v>
      </c>
    </row>
    <row r="912" spans="1:5" x14ac:dyDescent="0.35">
      <c r="A912" s="1">
        <v>45511</v>
      </c>
      <c r="B912" t="s">
        <v>825</v>
      </c>
      <c r="D912" s="1">
        <v>45461</v>
      </c>
      <c r="E912" t="s">
        <v>1173</v>
      </c>
    </row>
    <row r="913" spans="1:5" x14ac:dyDescent="0.35">
      <c r="A913" s="1">
        <v>45512</v>
      </c>
      <c r="B913" t="s">
        <v>826</v>
      </c>
      <c r="D913" s="1">
        <v>45462</v>
      </c>
      <c r="E913" t="s">
        <v>2046</v>
      </c>
    </row>
    <row r="914" spans="1:5" x14ac:dyDescent="0.35">
      <c r="A914" s="1">
        <v>45513</v>
      </c>
      <c r="B914" t="s">
        <v>827</v>
      </c>
      <c r="D914" s="1">
        <v>45463</v>
      </c>
      <c r="E914" t="s">
        <v>1881</v>
      </c>
    </row>
    <row r="915" spans="1:5" x14ac:dyDescent="0.35">
      <c r="A915" s="1">
        <v>45516</v>
      </c>
      <c r="B915" t="s">
        <v>811</v>
      </c>
      <c r="D915" s="1">
        <v>45464</v>
      </c>
      <c r="E915" t="s">
        <v>2047</v>
      </c>
    </row>
    <row r="916" spans="1:5" x14ac:dyDescent="0.35">
      <c r="A916" s="1">
        <v>45517</v>
      </c>
      <c r="B916" t="s">
        <v>828</v>
      </c>
      <c r="D916" s="1">
        <v>45467</v>
      </c>
      <c r="E916" t="s">
        <v>2048</v>
      </c>
    </row>
    <row r="917" spans="1:5" x14ac:dyDescent="0.35">
      <c r="A917" s="1">
        <v>45518</v>
      </c>
      <c r="B917" t="s">
        <v>829</v>
      </c>
      <c r="D917" s="1">
        <v>45468</v>
      </c>
      <c r="E917" t="s">
        <v>2049</v>
      </c>
    </row>
    <row r="918" spans="1:5" x14ac:dyDescent="0.35">
      <c r="A918" s="1">
        <v>45519</v>
      </c>
      <c r="B918" t="s">
        <v>830</v>
      </c>
      <c r="D918" s="1">
        <v>45469</v>
      </c>
      <c r="E918" t="s">
        <v>1887</v>
      </c>
    </row>
    <row r="919" spans="1:5" x14ac:dyDescent="0.35">
      <c r="A919" s="1">
        <v>45520</v>
      </c>
      <c r="B919" t="s">
        <v>831</v>
      </c>
      <c r="D919" s="1">
        <v>45470</v>
      </c>
      <c r="E919" t="s">
        <v>1332</v>
      </c>
    </row>
    <row r="920" spans="1:5" x14ac:dyDescent="0.35">
      <c r="A920" s="1">
        <v>45523</v>
      </c>
      <c r="B920" t="s">
        <v>832</v>
      </c>
      <c r="D920" s="1">
        <v>45471</v>
      </c>
      <c r="E920" t="s">
        <v>1836</v>
      </c>
    </row>
    <row r="921" spans="1:5" x14ac:dyDescent="0.35">
      <c r="A921" s="1">
        <v>45524</v>
      </c>
      <c r="B921" t="s">
        <v>833</v>
      </c>
      <c r="D921" s="1">
        <v>45474</v>
      </c>
      <c r="E921" t="s">
        <v>2036</v>
      </c>
    </row>
    <row r="922" spans="1:5" x14ac:dyDescent="0.35">
      <c r="A922" s="1">
        <v>45525</v>
      </c>
      <c r="B922" t="s">
        <v>834</v>
      </c>
      <c r="D922" s="1">
        <v>45475</v>
      </c>
      <c r="E922" t="s">
        <v>2050</v>
      </c>
    </row>
    <row r="923" spans="1:5" x14ac:dyDescent="0.35">
      <c r="A923" s="1">
        <v>45526</v>
      </c>
      <c r="B923" t="s">
        <v>835</v>
      </c>
      <c r="D923" s="1">
        <v>45476</v>
      </c>
      <c r="E923" t="s">
        <v>2051</v>
      </c>
    </row>
    <row r="924" spans="1:5" x14ac:dyDescent="0.35">
      <c r="A924" s="1">
        <v>45527</v>
      </c>
      <c r="B924" t="s">
        <v>834</v>
      </c>
      <c r="D924" s="1">
        <v>45477</v>
      </c>
      <c r="E924" t="s">
        <v>2052</v>
      </c>
    </row>
    <row r="925" spans="1:5" x14ac:dyDescent="0.35">
      <c r="A925" s="1">
        <v>45530</v>
      </c>
      <c r="B925" t="s">
        <v>836</v>
      </c>
      <c r="D925" s="1">
        <v>45478</v>
      </c>
      <c r="E925" t="s">
        <v>2053</v>
      </c>
    </row>
    <row r="926" spans="1:5" x14ac:dyDescent="0.35">
      <c r="A926" s="1">
        <v>45531</v>
      </c>
      <c r="B926" t="s">
        <v>837</v>
      </c>
      <c r="D926" s="1">
        <v>45481</v>
      </c>
      <c r="E926" t="s">
        <v>2054</v>
      </c>
    </row>
    <row r="927" spans="1:5" x14ac:dyDescent="0.35">
      <c r="A927" s="1">
        <v>45532</v>
      </c>
      <c r="B927" t="s">
        <v>838</v>
      </c>
      <c r="D927" s="1">
        <v>45482</v>
      </c>
      <c r="E927" t="s">
        <v>2055</v>
      </c>
    </row>
    <row r="928" spans="1:5" x14ac:dyDescent="0.35">
      <c r="A928" s="1">
        <v>45533</v>
      </c>
      <c r="B928" t="s">
        <v>839</v>
      </c>
      <c r="D928" s="1">
        <v>45483</v>
      </c>
      <c r="E928" t="s">
        <v>1322</v>
      </c>
    </row>
    <row r="929" spans="1:5" x14ac:dyDescent="0.35">
      <c r="A929" s="1">
        <v>45534</v>
      </c>
      <c r="B929" t="s">
        <v>840</v>
      </c>
      <c r="D929" s="1">
        <v>45484</v>
      </c>
      <c r="E929" t="s">
        <v>1889</v>
      </c>
    </row>
    <row r="930" spans="1:5" x14ac:dyDescent="0.35">
      <c r="A930" s="1">
        <v>45538</v>
      </c>
      <c r="B930" t="s">
        <v>841</v>
      </c>
      <c r="D930" s="1">
        <v>45485</v>
      </c>
      <c r="E930" t="s">
        <v>2056</v>
      </c>
    </row>
    <row r="931" spans="1:5" x14ac:dyDescent="0.35">
      <c r="A931" s="1">
        <v>45539</v>
      </c>
      <c r="B931" t="s">
        <v>842</v>
      </c>
      <c r="D931" s="1">
        <v>45488</v>
      </c>
      <c r="E931" t="s">
        <v>1228</v>
      </c>
    </row>
    <row r="932" spans="1:5" x14ac:dyDescent="0.35">
      <c r="A932" s="1">
        <v>45540</v>
      </c>
      <c r="B932" t="s">
        <v>843</v>
      </c>
      <c r="D932" s="1">
        <v>45489</v>
      </c>
      <c r="E932" t="s">
        <v>1822</v>
      </c>
    </row>
    <row r="933" spans="1:5" x14ac:dyDescent="0.35">
      <c r="A933" s="1">
        <v>45541</v>
      </c>
      <c r="B933" t="s">
        <v>844</v>
      </c>
      <c r="D933" s="1">
        <v>45490</v>
      </c>
      <c r="E933" t="s">
        <v>2057</v>
      </c>
    </row>
    <row r="934" spans="1:5" x14ac:dyDescent="0.35">
      <c r="A934" s="1">
        <v>45544</v>
      </c>
      <c r="B934" t="s">
        <v>832</v>
      </c>
      <c r="D934" s="1">
        <v>45491</v>
      </c>
      <c r="E934" t="s">
        <v>2058</v>
      </c>
    </row>
    <row r="935" spans="1:5" x14ac:dyDescent="0.35">
      <c r="A935" s="1">
        <v>45545</v>
      </c>
      <c r="B935" t="s">
        <v>845</v>
      </c>
      <c r="D935" s="1">
        <v>45492</v>
      </c>
      <c r="E935" t="s">
        <v>2059</v>
      </c>
    </row>
    <row r="936" spans="1:5" x14ac:dyDescent="0.35">
      <c r="A936" s="1">
        <v>45546</v>
      </c>
      <c r="B936" t="s">
        <v>846</v>
      </c>
      <c r="D936" s="1">
        <v>45495</v>
      </c>
      <c r="E936" t="s">
        <v>2060</v>
      </c>
    </row>
    <row r="937" spans="1:5" x14ac:dyDescent="0.35">
      <c r="A937" s="1">
        <v>45547</v>
      </c>
      <c r="B937" t="s">
        <v>847</v>
      </c>
      <c r="D937" s="1">
        <v>45496</v>
      </c>
      <c r="E937" t="s">
        <v>1221</v>
      </c>
    </row>
    <row r="938" spans="1:5" x14ac:dyDescent="0.35">
      <c r="A938" s="1">
        <v>45548</v>
      </c>
      <c r="B938" t="s">
        <v>848</v>
      </c>
      <c r="D938" s="1">
        <v>45497</v>
      </c>
      <c r="E938" t="s">
        <v>2061</v>
      </c>
    </row>
    <row r="939" spans="1:5" x14ac:dyDescent="0.35">
      <c r="A939" s="1">
        <v>45551</v>
      </c>
      <c r="B939" t="s">
        <v>849</v>
      </c>
      <c r="D939" s="1">
        <v>45498</v>
      </c>
      <c r="E939" t="s">
        <v>2062</v>
      </c>
    </row>
    <row r="940" spans="1:5" x14ac:dyDescent="0.35">
      <c r="A940" s="1">
        <v>45552</v>
      </c>
      <c r="B940" t="s">
        <v>850</v>
      </c>
      <c r="D940" s="1">
        <v>45499</v>
      </c>
      <c r="E940" t="s">
        <v>2063</v>
      </c>
    </row>
    <row r="941" spans="1:5" x14ac:dyDescent="0.35">
      <c r="A941" s="1">
        <v>45553</v>
      </c>
      <c r="B941" t="s">
        <v>851</v>
      </c>
      <c r="D941" s="1">
        <v>45502</v>
      </c>
      <c r="E941" t="s">
        <v>1881</v>
      </c>
    </row>
    <row r="942" spans="1:5" x14ac:dyDescent="0.35">
      <c r="A942" s="1">
        <v>45554</v>
      </c>
      <c r="B942" t="s">
        <v>852</v>
      </c>
      <c r="D942" s="1">
        <v>45503</v>
      </c>
      <c r="E942" t="s">
        <v>2064</v>
      </c>
    </row>
    <row r="943" spans="1:5" x14ac:dyDescent="0.35">
      <c r="A943" s="1">
        <v>45555</v>
      </c>
      <c r="B943" t="s">
        <v>853</v>
      </c>
      <c r="D943" s="1">
        <v>45504</v>
      </c>
      <c r="E943" t="s">
        <v>2065</v>
      </c>
    </row>
    <row r="944" spans="1:5" x14ac:dyDescent="0.35">
      <c r="A944" s="1">
        <v>45558</v>
      </c>
      <c r="B944" t="s">
        <v>854</v>
      </c>
      <c r="D944" s="1">
        <v>45505</v>
      </c>
      <c r="E944" t="s">
        <v>2066</v>
      </c>
    </row>
    <row r="945" spans="1:5" x14ac:dyDescent="0.35">
      <c r="A945" s="1">
        <v>45559</v>
      </c>
      <c r="B945" t="s">
        <v>855</v>
      </c>
      <c r="D945" s="1">
        <v>45506</v>
      </c>
      <c r="E945" t="s">
        <v>1935</v>
      </c>
    </row>
    <row r="946" spans="1:5" x14ac:dyDescent="0.35">
      <c r="A946" s="1">
        <v>45560</v>
      </c>
      <c r="B946" t="s">
        <v>856</v>
      </c>
      <c r="D946" s="1">
        <v>45509</v>
      </c>
      <c r="E946" t="s">
        <v>2067</v>
      </c>
    </row>
    <row r="947" spans="1:5" x14ac:dyDescent="0.35">
      <c r="A947" s="1">
        <v>45561</v>
      </c>
      <c r="B947" t="s">
        <v>857</v>
      </c>
      <c r="D947" s="1">
        <v>45510</v>
      </c>
      <c r="E947" t="s">
        <v>2068</v>
      </c>
    </row>
    <row r="948" spans="1:5" x14ac:dyDescent="0.35">
      <c r="A948" s="1">
        <v>45562</v>
      </c>
      <c r="B948" t="s">
        <v>858</v>
      </c>
      <c r="D948" s="1">
        <v>45511</v>
      </c>
      <c r="E948" t="s">
        <v>2069</v>
      </c>
    </row>
    <row r="949" spans="1:5" x14ac:dyDescent="0.35">
      <c r="A949" s="1">
        <v>45565</v>
      </c>
      <c r="B949" t="s">
        <v>860</v>
      </c>
      <c r="D949" s="1">
        <v>45512</v>
      </c>
      <c r="E949" t="s">
        <v>2070</v>
      </c>
    </row>
    <row r="950" spans="1:5" x14ac:dyDescent="0.35">
      <c r="A950" s="1">
        <v>45566</v>
      </c>
      <c r="B950" t="s">
        <v>861</v>
      </c>
      <c r="D950" s="1">
        <v>45513</v>
      </c>
      <c r="E950" t="s">
        <v>2071</v>
      </c>
    </row>
    <row r="951" spans="1:5" x14ac:dyDescent="0.35">
      <c r="A951" s="1">
        <v>45567</v>
      </c>
      <c r="B951" t="s">
        <v>862</v>
      </c>
      <c r="D951" s="1">
        <v>45516</v>
      </c>
      <c r="E951" t="s">
        <v>2072</v>
      </c>
    </row>
    <row r="952" spans="1:5" x14ac:dyDescent="0.35">
      <c r="A952" s="1">
        <v>45568</v>
      </c>
      <c r="B952" t="s">
        <v>863</v>
      </c>
      <c r="D952" s="1">
        <v>45517</v>
      </c>
      <c r="E952" t="s">
        <v>2073</v>
      </c>
    </row>
    <row r="953" spans="1:5" x14ac:dyDescent="0.35">
      <c r="A953" s="1">
        <v>45569</v>
      </c>
      <c r="B953" t="s">
        <v>864</v>
      </c>
      <c r="D953" s="1">
        <v>45518</v>
      </c>
      <c r="E953" t="s">
        <v>2074</v>
      </c>
    </row>
    <row r="954" spans="1:5" x14ac:dyDescent="0.35">
      <c r="A954" s="1">
        <v>45572</v>
      </c>
      <c r="B954" t="s">
        <v>866</v>
      </c>
      <c r="D954" s="1">
        <v>45519</v>
      </c>
      <c r="E954" t="s">
        <v>2075</v>
      </c>
    </row>
    <row r="955" spans="1:5" x14ac:dyDescent="0.35">
      <c r="A955" s="1">
        <v>45573</v>
      </c>
      <c r="B955" t="s">
        <v>867</v>
      </c>
      <c r="D955" s="1">
        <v>45520</v>
      </c>
      <c r="E955" t="s">
        <v>2076</v>
      </c>
    </row>
    <row r="956" spans="1:5" x14ac:dyDescent="0.35">
      <c r="A956" s="1">
        <v>45574</v>
      </c>
      <c r="B956" t="s">
        <v>868</v>
      </c>
      <c r="D956" s="1">
        <v>45523</v>
      </c>
      <c r="E956" t="s">
        <v>2078</v>
      </c>
    </row>
    <row r="957" spans="1:5" x14ac:dyDescent="0.35">
      <c r="A957" s="1">
        <v>45575</v>
      </c>
      <c r="B957" t="s">
        <v>869</v>
      </c>
      <c r="D957" s="1">
        <v>45524</v>
      </c>
      <c r="E957" t="s">
        <v>2079</v>
      </c>
    </row>
    <row r="958" spans="1:5" x14ac:dyDescent="0.35">
      <c r="A958" s="1">
        <v>45576</v>
      </c>
      <c r="B958" t="s">
        <v>870</v>
      </c>
      <c r="D958" s="1">
        <v>45525</v>
      </c>
      <c r="E958" t="s">
        <v>2080</v>
      </c>
    </row>
    <row r="959" spans="1:5" x14ac:dyDescent="0.35">
      <c r="A959" s="1">
        <v>45579</v>
      </c>
      <c r="B959" t="s">
        <v>871</v>
      </c>
      <c r="D959" s="1">
        <v>45526</v>
      </c>
      <c r="E959" t="s">
        <v>2081</v>
      </c>
    </row>
    <row r="960" spans="1:5" x14ac:dyDescent="0.35">
      <c r="A960" s="1">
        <v>45580</v>
      </c>
      <c r="B960" t="s">
        <v>872</v>
      </c>
      <c r="D960" s="1">
        <v>45527</v>
      </c>
      <c r="E960" t="s">
        <v>2082</v>
      </c>
    </row>
    <row r="961" spans="1:5" x14ac:dyDescent="0.35">
      <c r="A961" s="1">
        <v>45581</v>
      </c>
      <c r="B961" t="s">
        <v>873</v>
      </c>
      <c r="D961" s="1">
        <v>45530</v>
      </c>
      <c r="E961" t="s">
        <v>2083</v>
      </c>
    </row>
    <row r="962" spans="1:5" x14ac:dyDescent="0.35">
      <c r="A962" s="1">
        <v>45582</v>
      </c>
      <c r="B962" t="s">
        <v>874</v>
      </c>
      <c r="D962" s="1">
        <v>45531</v>
      </c>
      <c r="E962" t="s">
        <v>2084</v>
      </c>
    </row>
    <row r="963" spans="1:5" x14ac:dyDescent="0.35">
      <c r="A963" s="1">
        <v>45583</v>
      </c>
      <c r="B963" t="s">
        <v>875</v>
      </c>
      <c r="D963" s="1">
        <v>45532</v>
      </c>
      <c r="E963" t="s">
        <v>2085</v>
      </c>
    </row>
    <row r="964" spans="1:5" x14ac:dyDescent="0.35">
      <c r="A964" s="1">
        <v>45586</v>
      </c>
      <c r="B964" t="s">
        <v>876</v>
      </c>
      <c r="D964" s="1">
        <v>45533</v>
      </c>
      <c r="E964" t="s">
        <v>2086</v>
      </c>
    </row>
    <row r="965" spans="1:5" x14ac:dyDescent="0.35">
      <c r="A965" s="1">
        <v>45587</v>
      </c>
      <c r="B965" t="s">
        <v>877</v>
      </c>
      <c r="D965" s="1">
        <v>45534</v>
      </c>
      <c r="E965" t="s">
        <v>2087</v>
      </c>
    </row>
    <row r="966" spans="1:5" x14ac:dyDescent="0.35">
      <c r="A966" s="1">
        <v>45588</v>
      </c>
      <c r="B966" t="s">
        <v>878</v>
      </c>
      <c r="D966" s="1">
        <v>45537</v>
      </c>
      <c r="E966" t="s">
        <v>1954</v>
      </c>
    </row>
    <row r="967" spans="1:5" x14ac:dyDescent="0.35">
      <c r="A967" s="1">
        <v>45589</v>
      </c>
      <c r="B967" t="s">
        <v>879</v>
      </c>
      <c r="D967" s="1">
        <v>45538</v>
      </c>
      <c r="E967" t="s">
        <v>2088</v>
      </c>
    </row>
    <row r="968" spans="1:5" x14ac:dyDescent="0.35">
      <c r="A968" s="1">
        <v>45590</v>
      </c>
      <c r="B968" t="s">
        <v>881</v>
      </c>
      <c r="D968" s="1">
        <v>45539</v>
      </c>
      <c r="E968" t="s">
        <v>2089</v>
      </c>
    </row>
    <row r="969" spans="1:5" x14ac:dyDescent="0.35">
      <c r="A969" s="1">
        <v>45593</v>
      </c>
      <c r="B969" t="s">
        <v>882</v>
      </c>
      <c r="D969" s="1">
        <v>45540</v>
      </c>
      <c r="E969" t="s">
        <v>2090</v>
      </c>
    </row>
    <row r="970" spans="1:5" x14ac:dyDescent="0.35">
      <c r="A970" s="1">
        <v>45594</v>
      </c>
      <c r="B970" t="s">
        <v>883</v>
      </c>
      <c r="D970" s="1">
        <v>45541</v>
      </c>
      <c r="E970" t="s">
        <v>2091</v>
      </c>
    </row>
    <row r="971" spans="1:5" x14ac:dyDescent="0.35">
      <c r="A971" s="1">
        <v>45595</v>
      </c>
      <c r="B971" t="s">
        <v>884</v>
      </c>
      <c r="D971" s="1">
        <v>45544</v>
      </c>
      <c r="E971" t="s">
        <v>2092</v>
      </c>
    </row>
    <row r="972" spans="1:5" x14ac:dyDescent="0.35">
      <c r="A972" s="1">
        <v>45596</v>
      </c>
      <c r="B972" t="s">
        <v>885</v>
      </c>
      <c r="D972" s="1">
        <v>45545</v>
      </c>
      <c r="E972" t="s">
        <v>2093</v>
      </c>
    </row>
    <row r="973" spans="1:5" x14ac:dyDescent="0.35">
      <c r="A973" s="1">
        <v>45597</v>
      </c>
      <c r="B973" t="s">
        <v>886</v>
      </c>
      <c r="D973" s="1">
        <v>45546</v>
      </c>
      <c r="E973" t="s">
        <v>2094</v>
      </c>
    </row>
    <row r="974" spans="1:5" x14ac:dyDescent="0.35">
      <c r="A974" s="1">
        <v>45600</v>
      </c>
      <c r="B974" t="s">
        <v>880</v>
      </c>
      <c r="D974" s="1">
        <v>45547</v>
      </c>
      <c r="E974" t="s">
        <v>2095</v>
      </c>
    </row>
    <row r="975" spans="1:5" x14ac:dyDescent="0.35">
      <c r="A975" s="1">
        <v>45601</v>
      </c>
      <c r="B975" t="s">
        <v>887</v>
      </c>
      <c r="D975" s="1">
        <v>45548</v>
      </c>
      <c r="E975" t="s">
        <v>2096</v>
      </c>
    </row>
    <row r="976" spans="1:5" x14ac:dyDescent="0.35">
      <c r="A976" s="1">
        <v>45602</v>
      </c>
      <c r="B976" t="s">
        <v>888</v>
      </c>
      <c r="D976" s="1">
        <v>45551</v>
      </c>
      <c r="E976" t="s">
        <v>2097</v>
      </c>
    </row>
    <row r="977" spans="1:5" x14ac:dyDescent="0.35">
      <c r="A977" s="1">
        <v>45603</v>
      </c>
      <c r="B977" t="s">
        <v>889</v>
      </c>
      <c r="D977" s="1">
        <v>45552</v>
      </c>
      <c r="E977" t="s">
        <v>2098</v>
      </c>
    </row>
    <row r="978" spans="1:5" x14ac:dyDescent="0.35">
      <c r="A978" s="1">
        <v>45604</v>
      </c>
      <c r="B978" t="s">
        <v>890</v>
      </c>
      <c r="D978" s="1">
        <v>45553</v>
      </c>
      <c r="E978" t="s">
        <v>2099</v>
      </c>
    </row>
    <row r="979" spans="1:5" x14ac:dyDescent="0.35">
      <c r="A979" s="1">
        <v>45607</v>
      </c>
      <c r="B979" t="s">
        <v>891</v>
      </c>
      <c r="D979" s="1">
        <v>45554</v>
      </c>
      <c r="E979" t="s">
        <v>2100</v>
      </c>
    </row>
    <row r="980" spans="1:5" x14ac:dyDescent="0.35">
      <c r="A980" s="1">
        <v>45608</v>
      </c>
      <c r="B980" t="s">
        <v>892</v>
      </c>
      <c r="D980" s="1">
        <v>45555</v>
      </c>
      <c r="E980" t="s">
        <v>2101</v>
      </c>
    </row>
    <row r="981" spans="1:5" x14ac:dyDescent="0.35">
      <c r="A981" s="1">
        <v>45609</v>
      </c>
      <c r="B981" t="s">
        <v>893</v>
      </c>
      <c r="D981" s="1">
        <v>45558</v>
      </c>
      <c r="E981" t="s">
        <v>2102</v>
      </c>
    </row>
    <row r="982" spans="1:5" x14ac:dyDescent="0.35">
      <c r="A982" s="1">
        <v>45610</v>
      </c>
      <c r="B982" t="s">
        <v>894</v>
      </c>
      <c r="D982" s="1">
        <v>45559</v>
      </c>
      <c r="E982" t="s">
        <v>2083</v>
      </c>
    </row>
    <row r="983" spans="1:5" x14ac:dyDescent="0.35">
      <c r="A983" s="1">
        <v>45611</v>
      </c>
      <c r="B983" t="s">
        <v>895</v>
      </c>
      <c r="D983" s="1">
        <v>45560</v>
      </c>
      <c r="E983" t="s">
        <v>2103</v>
      </c>
    </row>
    <row r="984" spans="1:5" x14ac:dyDescent="0.35">
      <c r="A984" s="1">
        <v>45614</v>
      </c>
      <c r="B984" t="s">
        <v>896</v>
      </c>
      <c r="D984" s="1">
        <v>45561</v>
      </c>
      <c r="E984" t="s">
        <v>2104</v>
      </c>
    </row>
    <row r="985" spans="1:5" x14ac:dyDescent="0.35">
      <c r="A985" s="1">
        <v>45615</v>
      </c>
      <c r="B985" t="s">
        <v>897</v>
      </c>
      <c r="D985" s="1">
        <v>45562</v>
      </c>
      <c r="E985" t="s">
        <v>2105</v>
      </c>
    </row>
    <row r="986" spans="1:5" x14ac:dyDescent="0.35">
      <c r="A986" s="1">
        <v>45616</v>
      </c>
      <c r="B986" t="s">
        <v>898</v>
      </c>
      <c r="D986" s="1">
        <v>45565</v>
      </c>
      <c r="E986" t="s">
        <v>2106</v>
      </c>
    </row>
    <row r="987" spans="1:5" x14ac:dyDescent="0.35">
      <c r="A987" s="1">
        <v>45617</v>
      </c>
      <c r="B987" t="s">
        <v>859</v>
      </c>
      <c r="D987" s="1">
        <v>45566</v>
      </c>
      <c r="E987" t="s">
        <v>2107</v>
      </c>
    </row>
    <row r="988" spans="1:5" x14ac:dyDescent="0.35">
      <c r="A988" s="1">
        <v>45618</v>
      </c>
      <c r="B988" t="s">
        <v>899</v>
      </c>
      <c r="D988" s="1">
        <v>45567</v>
      </c>
      <c r="E988" t="s">
        <v>2108</v>
      </c>
    </row>
    <row r="989" spans="1:5" x14ac:dyDescent="0.35">
      <c r="A989" s="1">
        <v>45621</v>
      </c>
      <c r="B989" t="s">
        <v>900</v>
      </c>
      <c r="D989" s="1">
        <v>45568</v>
      </c>
      <c r="E989" t="s">
        <v>2109</v>
      </c>
    </row>
    <row r="990" spans="1:5" x14ac:dyDescent="0.35">
      <c r="A990" s="1">
        <v>45622</v>
      </c>
      <c r="B990" t="s">
        <v>901</v>
      </c>
      <c r="D990" s="1">
        <v>45569</v>
      </c>
      <c r="E990" t="s">
        <v>2110</v>
      </c>
    </row>
    <row r="991" spans="1:5" x14ac:dyDescent="0.35">
      <c r="A991" s="1">
        <v>45623</v>
      </c>
      <c r="B991" t="s">
        <v>902</v>
      </c>
      <c r="D991" s="1">
        <v>45572</v>
      </c>
      <c r="E991" t="s">
        <v>2111</v>
      </c>
    </row>
    <row r="992" spans="1:5" x14ac:dyDescent="0.35">
      <c r="A992" s="1">
        <v>45625</v>
      </c>
      <c r="B992" t="s">
        <v>903</v>
      </c>
      <c r="D992" s="1">
        <v>45573</v>
      </c>
      <c r="E992" t="s">
        <v>2112</v>
      </c>
    </row>
    <row r="993" spans="1:5" x14ac:dyDescent="0.35">
      <c r="A993" s="1">
        <v>45628</v>
      </c>
      <c r="B993" t="s">
        <v>904</v>
      </c>
      <c r="D993" s="1">
        <v>45574</v>
      </c>
      <c r="E993" t="s">
        <v>2113</v>
      </c>
    </row>
    <row r="994" spans="1:5" x14ac:dyDescent="0.35">
      <c r="A994" s="1">
        <v>45629</v>
      </c>
      <c r="B994" t="s">
        <v>905</v>
      </c>
      <c r="D994" s="1">
        <v>45575</v>
      </c>
      <c r="E994" t="s">
        <v>2114</v>
      </c>
    </row>
    <row r="995" spans="1:5" x14ac:dyDescent="0.35">
      <c r="A995" s="1">
        <v>45630</v>
      </c>
      <c r="B995" t="s">
        <v>906</v>
      </c>
      <c r="D995" s="1">
        <v>45576</v>
      </c>
      <c r="E995" t="s">
        <v>2115</v>
      </c>
    </row>
    <row r="996" spans="1:5" x14ac:dyDescent="0.35">
      <c r="A996" s="1">
        <v>45631</v>
      </c>
      <c r="B996" t="s">
        <v>907</v>
      </c>
      <c r="D996" s="1">
        <v>45579</v>
      </c>
      <c r="E996" t="s">
        <v>2116</v>
      </c>
    </row>
    <row r="997" spans="1:5" x14ac:dyDescent="0.35">
      <c r="A997" s="1">
        <v>45632</v>
      </c>
      <c r="B997" t="s">
        <v>908</v>
      </c>
      <c r="D997" s="1">
        <v>45580</v>
      </c>
      <c r="E997" t="s">
        <v>2117</v>
      </c>
    </row>
    <row r="998" spans="1:5" x14ac:dyDescent="0.35">
      <c r="A998" s="1">
        <v>45635</v>
      </c>
      <c r="B998" t="s">
        <v>909</v>
      </c>
      <c r="D998" s="1">
        <v>45581</v>
      </c>
      <c r="E998" t="s">
        <v>2118</v>
      </c>
    </row>
    <row r="999" spans="1:5" x14ac:dyDescent="0.35">
      <c r="A999" s="1">
        <v>45636</v>
      </c>
      <c r="B999" t="s">
        <v>910</v>
      </c>
      <c r="D999" s="1">
        <v>45582</v>
      </c>
      <c r="E999" t="s">
        <v>2119</v>
      </c>
    </row>
    <row r="1000" spans="1:5" x14ac:dyDescent="0.35">
      <c r="A1000" s="1">
        <v>45637</v>
      </c>
      <c r="B1000" t="s">
        <v>911</v>
      </c>
      <c r="D1000" s="1">
        <v>45583</v>
      </c>
      <c r="E1000" t="s">
        <v>2120</v>
      </c>
    </row>
    <row r="1001" spans="1:5" x14ac:dyDescent="0.35">
      <c r="A1001" s="1">
        <v>45638</v>
      </c>
      <c r="B1001" t="s">
        <v>890</v>
      </c>
      <c r="D1001" s="1">
        <v>45586</v>
      </c>
      <c r="E1001" t="s">
        <v>2121</v>
      </c>
    </row>
    <row r="1002" spans="1:5" x14ac:dyDescent="0.35">
      <c r="A1002" s="1">
        <v>45639</v>
      </c>
      <c r="B1002" t="s">
        <v>865</v>
      </c>
      <c r="D1002" s="1">
        <v>45587</v>
      </c>
      <c r="E1002" t="s">
        <v>2122</v>
      </c>
    </row>
    <row r="1003" spans="1:5" x14ac:dyDescent="0.35">
      <c r="A1003" s="1">
        <v>45642</v>
      </c>
      <c r="B1003" t="s">
        <v>912</v>
      </c>
      <c r="D1003" s="1">
        <v>45588</v>
      </c>
      <c r="E1003" t="s">
        <v>2123</v>
      </c>
    </row>
    <row r="1004" spans="1:5" x14ac:dyDescent="0.35">
      <c r="A1004" s="1">
        <v>45643</v>
      </c>
      <c r="B1004" t="s">
        <v>913</v>
      </c>
      <c r="D1004" s="1">
        <v>45589</v>
      </c>
      <c r="E1004" t="s">
        <v>2124</v>
      </c>
    </row>
    <row r="1005" spans="1:5" x14ac:dyDescent="0.35">
      <c r="A1005" s="1">
        <v>45644</v>
      </c>
      <c r="B1005" t="s">
        <v>914</v>
      </c>
      <c r="D1005" s="1">
        <v>45590</v>
      </c>
      <c r="E1005" t="s">
        <v>2125</v>
      </c>
    </row>
    <row r="1006" spans="1:5" x14ac:dyDescent="0.35">
      <c r="A1006" s="1">
        <v>45645</v>
      </c>
      <c r="B1006" t="s">
        <v>915</v>
      </c>
      <c r="D1006" s="1">
        <v>45593</v>
      </c>
      <c r="E1006" t="s">
        <v>1959</v>
      </c>
    </row>
    <row r="1007" spans="1:5" x14ac:dyDescent="0.35">
      <c r="A1007" s="1">
        <v>45646</v>
      </c>
      <c r="B1007" t="s">
        <v>916</v>
      </c>
      <c r="D1007" s="1">
        <v>45594</v>
      </c>
      <c r="E1007" t="s">
        <v>2126</v>
      </c>
    </row>
    <row r="1008" spans="1:5" x14ac:dyDescent="0.35">
      <c r="A1008" s="1">
        <v>45649</v>
      </c>
      <c r="B1008" t="s">
        <v>917</v>
      </c>
      <c r="D1008" s="1">
        <v>45595</v>
      </c>
      <c r="E1008" t="s">
        <v>2127</v>
      </c>
    </row>
    <row r="1009" spans="1:5" x14ac:dyDescent="0.35">
      <c r="A1009" s="1">
        <v>45650</v>
      </c>
      <c r="B1009" t="s">
        <v>918</v>
      </c>
      <c r="D1009" s="1">
        <v>45596</v>
      </c>
      <c r="E1009" t="s">
        <v>2077</v>
      </c>
    </row>
    <row r="1010" spans="1:5" x14ac:dyDescent="0.35">
      <c r="A1010" s="1">
        <v>45652</v>
      </c>
      <c r="B1010" t="s">
        <v>919</v>
      </c>
      <c r="D1010" s="1">
        <v>45597</v>
      </c>
      <c r="E1010" t="s">
        <v>2128</v>
      </c>
    </row>
    <row r="1011" spans="1:5" x14ac:dyDescent="0.35">
      <c r="A1011" s="1">
        <v>45653</v>
      </c>
      <c r="B1011" t="s">
        <v>920</v>
      </c>
      <c r="D1011" s="1">
        <v>45600</v>
      </c>
      <c r="E1011" t="s">
        <v>2129</v>
      </c>
    </row>
    <row r="1012" spans="1:5" x14ac:dyDescent="0.35">
      <c r="A1012" s="1">
        <v>45656</v>
      </c>
      <c r="B1012" t="s">
        <v>921</v>
      </c>
      <c r="D1012" s="1">
        <v>45601</v>
      </c>
      <c r="E1012" t="s">
        <v>2130</v>
      </c>
    </row>
    <row r="1013" spans="1:5" x14ac:dyDescent="0.35">
      <c r="A1013" s="1">
        <v>45657</v>
      </c>
      <c r="B1013" t="s">
        <v>922</v>
      </c>
      <c r="D1013" s="1">
        <v>45602</v>
      </c>
      <c r="E1013" t="s">
        <v>2131</v>
      </c>
    </row>
    <row r="1014" spans="1:5" x14ac:dyDescent="0.35">
      <c r="A1014" s="1">
        <v>45659</v>
      </c>
      <c r="B1014" t="s">
        <v>923</v>
      </c>
      <c r="D1014" s="1">
        <v>45603</v>
      </c>
      <c r="E1014" t="s">
        <v>2132</v>
      </c>
    </row>
    <row r="1015" spans="1:5" x14ac:dyDescent="0.35">
      <c r="A1015" s="1">
        <v>45660</v>
      </c>
      <c r="B1015" t="s">
        <v>924</v>
      </c>
      <c r="D1015" s="1">
        <v>45604</v>
      </c>
      <c r="E1015" t="s">
        <v>2133</v>
      </c>
    </row>
    <row r="1016" spans="1:5" x14ac:dyDescent="0.35">
      <c r="A1016" s="1">
        <v>45663</v>
      </c>
      <c r="B1016" t="s">
        <v>925</v>
      </c>
      <c r="D1016" s="1">
        <v>45607</v>
      </c>
      <c r="E1016" t="s">
        <v>2134</v>
      </c>
    </row>
    <row r="1017" spans="1:5" x14ac:dyDescent="0.35">
      <c r="A1017" s="1">
        <v>45664</v>
      </c>
      <c r="B1017" t="s">
        <v>926</v>
      </c>
      <c r="D1017" s="1">
        <v>45608</v>
      </c>
      <c r="E1017" t="s">
        <v>1877</v>
      </c>
    </row>
    <row r="1018" spans="1:5" x14ac:dyDescent="0.35">
      <c r="A1018" s="1">
        <v>45665</v>
      </c>
      <c r="B1018" t="s">
        <v>927</v>
      </c>
      <c r="D1018" s="1">
        <v>45609</v>
      </c>
      <c r="E1018" t="s">
        <v>2135</v>
      </c>
    </row>
    <row r="1019" spans="1:5" x14ac:dyDescent="0.35">
      <c r="A1019" s="1">
        <v>45666</v>
      </c>
      <c r="B1019" t="s">
        <v>928</v>
      </c>
      <c r="D1019" s="1">
        <v>45610</v>
      </c>
      <c r="E1019" t="s">
        <v>2136</v>
      </c>
    </row>
    <row r="1020" spans="1:5" x14ac:dyDescent="0.35">
      <c r="A1020" s="1">
        <v>45667</v>
      </c>
      <c r="B1020" t="s">
        <v>929</v>
      </c>
      <c r="D1020" s="1">
        <v>45611</v>
      </c>
      <c r="E1020" t="s">
        <v>2137</v>
      </c>
    </row>
    <row r="1021" spans="1:5" x14ac:dyDescent="0.35">
      <c r="A1021" s="1">
        <v>45670</v>
      </c>
      <c r="B1021" t="s">
        <v>930</v>
      </c>
      <c r="D1021" s="1">
        <v>45614</v>
      </c>
      <c r="E1021" t="s">
        <v>2138</v>
      </c>
    </row>
    <row r="1022" spans="1:5" x14ac:dyDescent="0.35">
      <c r="A1022" s="1">
        <v>45671</v>
      </c>
      <c r="B1022" t="s">
        <v>931</v>
      </c>
      <c r="D1022" s="1">
        <v>45615</v>
      </c>
      <c r="E1022" t="s">
        <v>1878</v>
      </c>
    </row>
    <row r="1023" spans="1:5" x14ac:dyDescent="0.35">
      <c r="A1023" s="1">
        <v>45672</v>
      </c>
      <c r="B1023" t="s">
        <v>932</v>
      </c>
      <c r="D1023" s="1">
        <v>45616</v>
      </c>
      <c r="E1023" t="s">
        <v>2139</v>
      </c>
    </row>
    <row r="1024" spans="1:5" x14ac:dyDescent="0.35">
      <c r="A1024" s="1">
        <v>45673</v>
      </c>
      <c r="B1024" t="s">
        <v>933</v>
      </c>
      <c r="D1024" s="1">
        <v>45617</v>
      </c>
      <c r="E1024" t="s">
        <v>2140</v>
      </c>
    </row>
    <row r="1025" spans="1:5" x14ac:dyDescent="0.35">
      <c r="A1025" s="1">
        <v>45674</v>
      </c>
      <c r="B1025" t="s">
        <v>934</v>
      </c>
      <c r="D1025" s="1">
        <v>45618</v>
      </c>
      <c r="E1025" t="s">
        <v>1191</v>
      </c>
    </row>
    <row r="1026" spans="1:5" x14ac:dyDescent="0.35">
      <c r="A1026" s="1">
        <v>45678</v>
      </c>
      <c r="B1026" t="s">
        <v>935</v>
      </c>
      <c r="D1026" s="1">
        <v>45621</v>
      </c>
      <c r="E1026" t="s">
        <v>2141</v>
      </c>
    </row>
    <row r="1027" spans="1:5" x14ac:dyDescent="0.35">
      <c r="A1027" s="1">
        <v>45679</v>
      </c>
      <c r="B1027" t="s">
        <v>936</v>
      </c>
      <c r="D1027" s="1">
        <v>45622</v>
      </c>
      <c r="E1027" t="s">
        <v>1792</v>
      </c>
    </row>
    <row r="1028" spans="1:5" x14ac:dyDescent="0.35">
      <c r="A1028" s="1">
        <v>45680</v>
      </c>
      <c r="B1028" t="s">
        <v>937</v>
      </c>
      <c r="D1028" s="1">
        <v>45623</v>
      </c>
      <c r="E1028" t="s">
        <v>2142</v>
      </c>
    </row>
    <row r="1029" spans="1:5" x14ac:dyDescent="0.35">
      <c r="A1029" s="1">
        <v>45681</v>
      </c>
      <c r="B1029" t="s">
        <v>938</v>
      </c>
      <c r="D1029" s="1">
        <v>45624</v>
      </c>
      <c r="E1029" t="s">
        <v>1788</v>
      </c>
    </row>
    <row r="1030" spans="1:5" x14ac:dyDescent="0.35">
      <c r="A1030" s="1">
        <v>45684</v>
      </c>
      <c r="B1030" t="s">
        <v>939</v>
      </c>
      <c r="D1030" s="1">
        <v>45625</v>
      </c>
      <c r="E1030" t="s">
        <v>2143</v>
      </c>
    </row>
    <row r="1031" spans="1:5" x14ac:dyDescent="0.35">
      <c r="A1031" s="1">
        <v>45685</v>
      </c>
      <c r="B1031" t="s">
        <v>940</v>
      </c>
      <c r="D1031" s="1">
        <v>45628</v>
      </c>
      <c r="E1031" t="s">
        <v>2145</v>
      </c>
    </row>
    <row r="1032" spans="1:5" x14ac:dyDescent="0.35">
      <c r="A1032" s="1">
        <v>45686</v>
      </c>
      <c r="B1032" t="s">
        <v>941</v>
      </c>
      <c r="D1032" s="1">
        <v>45629</v>
      </c>
      <c r="E1032" t="s">
        <v>2146</v>
      </c>
    </row>
    <row r="1033" spans="1:5" x14ac:dyDescent="0.35">
      <c r="A1033" s="1">
        <v>45687</v>
      </c>
      <c r="B1033" t="s">
        <v>942</v>
      </c>
      <c r="D1033" s="1">
        <v>45630</v>
      </c>
      <c r="E1033" t="s">
        <v>1192</v>
      </c>
    </row>
    <row r="1034" spans="1:5" x14ac:dyDescent="0.35">
      <c r="A1034" s="1">
        <v>45688</v>
      </c>
      <c r="B1034" t="s">
        <v>943</v>
      </c>
      <c r="D1034" s="1">
        <v>45631</v>
      </c>
      <c r="E1034" t="s">
        <v>2147</v>
      </c>
    </row>
    <row r="1035" spans="1:5" x14ac:dyDescent="0.35">
      <c r="A1035" s="1">
        <v>45691</v>
      </c>
      <c r="B1035" t="s">
        <v>944</v>
      </c>
      <c r="D1035" s="1">
        <v>45632</v>
      </c>
      <c r="E1035" t="s">
        <v>2148</v>
      </c>
    </row>
    <row r="1036" spans="1:5" x14ac:dyDescent="0.35">
      <c r="A1036" s="1">
        <v>45692</v>
      </c>
      <c r="B1036" t="s">
        <v>945</v>
      </c>
      <c r="D1036" s="1">
        <v>45635</v>
      </c>
      <c r="E1036" t="s">
        <v>2149</v>
      </c>
    </row>
    <row r="1037" spans="1:5" x14ac:dyDescent="0.35">
      <c r="A1037" s="1">
        <v>45693</v>
      </c>
      <c r="B1037" t="s">
        <v>946</v>
      </c>
      <c r="D1037" s="1">
        <v>45636</v>
      </c>
      <c r="E1037" t="s">
        <v>2150</v>
      </c>
    </row>
    <row r="1038" spans="1:5" x14ac:dyDescent="0.35">
      <c r="A1038" s="1">
        <v>45694</v>
      </c>
      <c r="B1038" t="s">
        <v>947</v>
      </c>
      <c r="D1038" s="1">
        <v>45637</v>
      </c>
      <c r="E1038" t="s">
        <v>2151</v>
      </c>
    </row>
    <row r="1039" spans="1:5" x14ac:dyDescent="0.35">
      <c r="A1039" s="1">
        <v>45695</v>
      </c>
      <c r="B1039" t="s">
        <v>948</v>
      </c>
      <c r="D1039" s="1">
        <v>45638</v>
      </c>
      <c r="E1039" t="s">
        <v>2152</v>
      </c>
    </row>
    <row r="1040" spans="1:5" x14ac:dyDescent="0.35">
      <c r="A1040" s="1">
        <v>45698</v>
      </c>
      <c r="B1040" t="s">
        <v>949</v>
      </c>
      <c r="D1040" s="1">
        <v>45639</v>
      </c>
      <c r="E1040" t="s">
        <v>1186</v>
      </c>
    </row>
    <row r="1041" spans="1:5" x14ac:dyDescent="0.35">
      <c r="A1041" s="1">
        <v>45699</v>
      </c>
      <c r="B1041" t="s">
        <v>950</v>
      </c>
      <c r="D1041" s="1">
        <v>45642</v>
      </c>
      <c r="E1041" t="s">
        <v>2153</v>
      </c>
    </row>
    <row r="1042" spans="1:5" x14ac:dyDescent="0.35">
      <c r="A1042" s="1">
        <v>45700</v>
      </c>
      <c r="B1042" t="s">
        <v>951</v>
      </c>
      <c r="D1042" s="1">
        <v>45643</v>
      </c>
      <c r="E1042" t="s">
        <v>2154</v>
      </c>
    </row>
    <row r="1043" spans="1:5" x14ac:dyDescent="0.35">
      <c r="A1043" s="1">
        <v>45701</v>
      </c>
      <c r="B1043" t="s">
        <v>952</v>
      </c>
      <c r="D1043" s="1">
        <v>45644</v>
      </c>
      <c r="E1043" t="s">
        <v>2155</v>
      </c>
    </row>
    <row r="1044" spans="1:5" x14ac:dyDescent="0.35">
      <c r="A1044" s="1">
        <v>45702</v>
      </c>
      <c r="B1044" t="s">
        <v>953</v>
      </c>
      <c r="D1044" s="1">
        <v>45645</v>
      </c>
      <c r="E1044" t="s">
        <v>2156</v>
      </c>
    </row>
    <row r="1045" spans="1:5" x14ac:dyDescent="0.35">
      <c r="A1045" s="1">
        <v>45706</v>
      </c>
      <c r="B1045" t="s">
        <v>954</v>
      </c>
      <c r="D1045" s="1">
        <v>45646</v>
      </c>
      <c r="E1045" t="s">
        <v>2157</v>
      </c>
    </row>
    <row r="1046" spans="1:5" x14ac:dyDescent="0.35">
      <c r="A1046" s="1">
        <v>45707</v>
      </c>
      <c r="B1046" t="s">
        <v>955</v>
      </c>
      <c r="D1046" s="1">
        <v>45649</v>
      </c>
      <c r="E1046" t="s">
        <v>2040</v>
      </c>
    </row>
    <row r="1047" spans="1:5" x14ac:dyDescent="0.35">
      <c r="A1047" s="1">
        <v>45708</v>
      </c>
      <c r="B1047" t="s">
        <v>956</v>
      </c>
      <c r="D1047" s="1">
        <v>45650</v>
      </c>
      <c r="E1047" t="s">
        <v>2158</v>
      </c>
    </row>
    <row r="1048" spans="1:5" x14ac:dyDescent="0.35">
      <c r="A1048" s="1">
        <v>45709</v>
      </c>
      <c r="B1048" t="s">
        <v>957</v>
      </c>
      <c r="D1048" s="1">
        <v>45651</v>
      </c>
      <c r="E1048" t="s">
        <v>1803</v>
      </c>
    </row>
    <row r="1049" spans="1:5" x14ac:dyDescent="0.35">
      <c r="A1049" s="1">
        <v>45712</v>
      </c>
      <c r="B1049" t="s">
        <v>958</v>
      </c>
      <c r="D1049" s="1">
        <v>45652</v>
      </c>
      <c r="E1049" t="s">
        <v>2160</v>
      </c>
    </row>
    <row r="1050" spans="1:5" x14ac:dyDescent="0.35">
      <c r="A1050" s="1">
        <v>45713</v>
      </c>
      <c r="B1050" t="s">
        <v>959</v>
      </c>
      <c r="D1050" s="1">
        <v>45653</v>
      </c>
      <c r="E1050" t="s">
        <v>2161</v>
      </c>
    </row>
    <row r="1051" spans="1:5" x14ac:dyDescent="0.35">
      <c r="A1051" s="1">
        <v>45714</v>
      </c>
      <c r="B1051" t="s">
        <v>960</v>
      </c>
      <c r="D1051" s="1">
        <v>45656</v>
      </c>
      <c r="E1051" t="s">
        <v>2028</v>
      </c>
    </row>
    <row r="1052" spans="1:5" x14ac:dyDescent="0.35">
      <c r="A1052" s="1">
        <v>45715</v>
      </c>
      <c r="B1052" t="s">
        <v>961</v>
      </c>
      <c r="D1052" s="1">
        <v>45657</v>
      </c>
      <c r="E1052" t="s">
        <v>2162</v>
      </c>
    </row>
    <row r="1053" spans="1:5" x14ac:dyDescent="0.35">
      <c r="A1053" s="1">
        <v>45716</v>
      </c>
      <c r="B1053" t="s">
        <v>962</v>
      </c>
      <c r="D1053" s="1">
        <v>45659</v>
      </c>
      <c r="E1053" t="s">
        <v>2163</v>
      </c>
    </row>
    <row r="1054" spans="1:5" x14ac:dyDescent="0.35">
      <c r="A1054" s="1">
        <v>45719</v>
      </c>
      <c r="B1054" t="s">
        <v>963</v>
      </c>
      <c r="D1054" s="1">
        <v>45660</v>
      </c>
      <c r="E1054" t="s">
        <v>2164</v>
      </c>
    </row>
    <row r="1055" spans="1:5" x14ac:dyDescent="0.35">
      <c r="A1055" s="1">
        <v>45720</v>
      </c>
      <c r="B1055" t="s">
        <v>964</v>
      </c>
      <c r="D1055" s="1">
        <v>45663</v>
      </c>
      <c r="E1055" t="s">
        <v>2165</v>
      </c>
    </row>
    <row r="1056" spans="1:5" x14ac:dyDescent="0.35">
      <c r="A1056" s="1">
        <v>45721</v>
      </c>
      <c r="B1056" t="s">
        <v>965</v>
      </c>
      <c r="D1056" s="1">
        <v>45664</v>
      </c>
      <c r="E1056" t="s">
        <v>2166</v>
      </c>
    </row>
    <row r="1057" spans="1:5" x14ac:dyDescent="0.35">
      <c r="A1057" s="1">
        <v>45722</v>
      </c>
      <c r="B1057" t="s">
        <v>966</v>
      </c>
      <c r="D1057" s="1">
        <v>45665</v>
      </c>
      <c r="E1057" t="s">
        <v>2167</v>
      </c>
    </row>
    <row r="1058" spans="1:5" x14ac:dyDescent="0.35">
      <c r="A1058" s="1">
        <v>45723</v>
      </c>
      <c r="B1058" t="s">
        <v>967</v>
      </c>
      <c r="D1058" s="1">
        <v>45666</v>
      </c>
      <c r="E1058" t="s">
        <v>2168</v>
      </c>
    </row>
    <row r="1059" spans="1:5" x14ac:dyDescent="0.35">
      <c r="A1059" s="1">
        <v>45726</v>
      </c>
      <c r="B1059" t="s">
        <v>968</v>
      </c>
      <c r="D1059" s="1">
        <v>45667</v>
      </c>
      <c r="E1059" t="s">
        <v>2169</v>
      </c>
    </row>
    <row r="1060" spans="1:5" x14ac:dyDescent="0.35">
      <c r="A1060" s="1">
        <v>45727</v>
      </c>
      <c r="B1060" t="s">
        <v>969</v>
      </c>
      <c r="D1060" s="1">
        <v>45670</v>
      </c>
      <c r="E1060" t="s">
        <v>1483</v>
      </c>
    </row>
    <row r="1061" spans="1:5" x14ac:dyDescent="0.35">
      <c r="A1061" s="1">
        <v>45728</v>
      </c>
      <c r="B1061" t="s">
        <v>970</v>
      </c>
      <c r="D1061" s="1">
        <v>45671</v>
      </c>
      <c r="E1061" t="s">
        <v>1397</v>
      </c>
    </row>
    <row r="1062" spans="1:5" x14ac:dyDescent="0.35">
      <c r="A1062" s="1">
        <v>45729</v>
      </c>
      <c r="B1062" t="s">
        <v>971</v>
      </c>
      <c r="D1062" s="1">
        <v>45672</v>
      </c>
      <c r="E1062" t="s">
        <v>1492</v>
      </c>
    </row>
    <row r="1063" spans="1:5" x14ac:dyDescent="0.35">
      <c r="A1063" s="1">
        <v>45730</v>
      </c>
      <c r="B1063" t="s">
        <v>972</v>
      </c>
      <c r="D1063" s="1">
        <v>45673</v>
      </c>
      <c r="E1063" t="s">
        <v>2170</v>
      </c>
    </row>
    <row r="1064" spans="1:5" x14ac:dyDescent="0.35">
      <c r="A1064" s="1">
        <v>45733</v>
      </c>
      <c r="B1064" t="s">
        <v>973</v>
      </c>
      <c r="D1064" s="1">
        <v>45674</v>
      </c>
      <c r="E1064" t="s">
        <v>2171</v>
      </c>
    </row>
    <row r="1065" spans="1:5" x14ac:dyDescent="0.35">
      <c r="A1065" s="1">
        <v>45734</v>
      </c>
      <c r="B1065" t="s">
        <v>974</v>
      </c>
      <c r="D1065" s="1">
        <v>45677</v>
      </c>
      <c r="E1065" t="s">
        <v>1295</v>
      </c>
    </row>
    <row r="1066" spans="1:5" x14ac:dyDescent="0.35">
      <c r="A1066" s="1">
        <v>45735</v>
      </c>
      <c r="B1066" t="s">
        <v>975</v>
      </c>
      <c r="D1066" s="1">
        <v>45678</v>
      </c>
      <c r="E1066" t="s">
        <v>2172</v>
      </c>
    </row>
    <row r="1067" spans="1:5" x14ac:dyDescent="0.35">
      <c r="A1067" s="1">
        <v>45736</v>
      </c>
      <c r="B1067" t="s">
        <v>976</v>
      </c>
      <c r="D1067" s="1">
        <v>45679</v>
      </c>
      <c r="E1067" t="s">
        <v>2173</v>
      </c>
    </row>
    <row r="1068" spans="1:5" x14ac:dyDescent="0.35">
      <c r="A1068" s="1">
        <v>45737</v>
      </c>
      <c r="B1068" t="s">
        <v>977</v>
      </c>
      <c r="D1068" s="1">
        <v>45680</v>
      </c>
      <c r="E1068" t="s">
        <v>2174</v>
      </c>
    </row>
    <row r="1069" spans="1:5" x14ac:dyDescent="0.35">
      <c r="A1069" s="1">
        <v>45740</v>
      </c>
      <c r="B1069" t="s">
        <v>978</v>
      </c>
      <c r="D1069" s="1">
        <v>45681</v>
      </c>
      <c r="E1069" t="s">
        <v>2175</v>
      </c>
    </row>
    <row r="1070" spans="1:5" x14ac:dyDescent="0.35">
      <c r="A1070" s="1">
        <v>45741</v>
      </c>
      <c r="B1070" t="s">
        <v>979</v>
      </c>
      <c r="D1070" s="1">
        <v>45684</v>
      </c>
      <c r="E1070" t="s">
        <v>2176</v>
      </c>
    </row>
    <row r="1071" spans="1:5" x14ac:dyDescent="0.35">
      <c r="A1071" s="1">
        <v>45742</v>
      </c>
      <c r="B1071" t="s">
        <v>980</v>
      </c>
      <c r="D1071" s="1">
        <v>45685</v>
      </c>
      <c r="E1071" t="s">
        <v>2177</v>
      </c>
    </row>
    <row r="1072" spans="1:5" x14ac:dyDescent="0.35">
      <c r="A1072" s="1">
        <v>45743</v>
      </c>
      <c r="B1072" t="s">
        <v>981</v>
      </c>
      <c r="D1072" s="1">
        <v>45686</v>
      </c>
      <c r="E1072" t="s">
        <v>2178</v>
      </c>
    </row>
    <row r="1073" spans="1:5" x14ac:dyDescent="0.35">
      <c r="A1073" s="1">
        <v>45744</v>
      </c>
      <c r="B1073" t="s">
        <v>982</v>
      </c>
      <c r="D1073" s="1">
        <v>45687</v>
      </c>
      <c r="E1073" t="s">
        <v>2179</v>
      </c>
    </row>
    <row r="1074" spans="1:5" x14ac:dyDescent="0.35">
      <c r="A1074" s="1">
        <v>45747</v>
      </c>
      <c r="B1074" t="s">
        <v>983</v>
      </c>
      <c r="D1074" s="1">
        <v>45688</v>
      </c>
      <c r="E1074" t="s">
        <v>2180</v>
      </c>
    </row>
    <row r="1075" spans="1:5" x14ac:dyDescent="0.35">
      <c r="A1075" s="1">
        <v>45748</v>
      </c>
      <c r="B1075" t="s">
        <v>984</v>
      </c>
      <c r="D1075" s="1">
        <v>45691</v>
      </c>
      <c r="E1075" t="s">
        <v>2181</v>
      </c>
    </row>
    <row r="1076" spans="1:5" x14ac:dyDescent="0.35">
      <c r="A1076" s="1">
        <v>45749</v>
      </c>
      <c r="B1076" t="s">
        <v>985</v>
      </c>
      <c r="D1076" s="1">
        <v>45692</v>
      </c>
      <c r="E1076" t="s">
        <v>2182</v>
      </c>
    </row>
    <row r="1077" spans="1:5" x14ac:dyDescent="0.35">
      <c r="A1077" s="1">
        <v>45750</v>
      </c>
      <c r="B1077" t="s">
        <v>986</v>
      </c>
      <c r="D1077" s="1">
        <v>45693</v>
      </c>
      <c r="E1077" t="s">
        <v>2183</v>
      </c>
    </row>
    <row r="1078" spans="1:5" x14ac:dyDescent="0.35">
      <c r="A1078" s="1">
        <v>45751</v>
      </c>
      <c r="B1078" t="s">
        <v>987</v>
      </c>
      <c r="D1078" s="1">
        <v>45694</v>
      </c>
      <c r="E1078" t="s">
        <v>2184</v>
      </c>
    </row>
    <row r="1079" spans="1:5" x14ac:dyDescent="0.35">
      <c r="A1079" s="1">
        <v>45754</v>
      </c>
      <c r="B1079" t="s">
        <v>988</v>
      </c>
      <c r="D1079" s="1">
        <v>45695</v>
      </c>
      <c r="E1079" t="s">
        <v>1231</v>
      </c>
    </row>
    <row r="1080" spans="1:5" x14ac:dyDescent="0.35">
      <c r="A1080" s="1">
        <v>45755</v>
      </c>
      <c r="B1080" t="s">
        <v>989</v>
      </c>
      <c r="D1080" s="1">
        <v>45698</v>
      </c>
      <c r="E1080" t="s">
        <v>2185</v>
      </c>
    </row>
    <row r="1081" spans="1:5" x14ac:dyDescent="0.35">
      <c r="A1081" s="1">
        <v>45756</v>
      </c>
      <c r="B1081" t="s">
        <v>990</v>
      </c>
      <c r="D1081" s="1">
        <v>45699</v>
      </c>
      <c r="E1081" t="s">
        <v>2186</v>
      </c>
    </row>
    <row r="1082" spans="1:5" x14ac:dyDescent="0.35">
      <c r="A1082" s="1">
        <v>45757</v>
      </c>
      <c r="B1082" t="s">
        <v>991</v>
      </c>
      <c r="D1082" s="1">
        <v>45700</v>
      </c>
      <c r="E1082" t="s">
        <v>2187</v>
      </c>
    </row>
    <row r="1083" spans="1:5" x14ac:dyDescent="0.35">
      <c r="A1083" s="1">
        <v>45758</v>
      </c>
      <c r="B1083" t="s">
        <v>992</v>
      </c>
      <c r="D1083" s="1">
        <v>45701</v>
      </c>
      <c r="E1083" t="s">
        <v>1303</v>
      </c>
    </row>
    <row r="1084" spans="1:5" x14ac:dyDescent="0.35">
      <c r="A1084" s="1">
        <v>45761</v>
      </c>
      <c r="B1084" t="s">
        <v>993</v>
      </c>
      <c r="D1084" s="1">
        <v>45702</v>
      </c>
      <c r="E1084" t="s">
        <v>2188</v>
      </c>
    </row>
    <row r="1085" spans="1:5" x14ac:dyDescent="0.35">
      <c r="A1085" s="1">
        <v>45762</v>
      </c>
      <c r="B1085" t="s">
        <v>994</v>
      </c>
      <c r="D1085" s="1">
        <v>45705</v>
      </c>
      <c r="E1085" t="s">
        <v>2189</v>
      </c>
    </row>
    <row r="1086" spans="1:5" x14ac:dyDescent="0.35">
      <c r="A1086" s="1">
        <v>45763</v>
      </c>
      <c r="B1086" t="s">
        <v>995</v>
      </c>
      <c r="D1086" s="1">
        <v>45706</v>
      </c>
      <c r="E1086" t="s">
        <v>2190</v>
      </c>
    </row>
    <row r="1087" spans="1:5" x14ac:dyDescent="0.35">
      <c r="A1087" s="1">
        <v>45764</v>
      </c>
      <c r="B1087" t="s">
        <v>996</v>
      </c>
      <c r="D1087" s="1">
        <v>45707</v>
      </c>
      <c r="E1087" t="s">
        <v>1379</v>
      </c>
    </row>
    <row r="1088" spans="1:5" x14ac:dyDescent="0.35">
      <c r="A1088" s="1">
        <v>45768</v>
      </c>
      <c r="B1088" t="s">
        <v>997</v>
      </c>
      <c r="D1088" s="1">
        <v>45708</v>
      </c>
      <c r="E1088" t="s">
        <v>2191</v>
      </c>
    </row>
    <row r="1089" spans="1:5" x14ac:dyDescent="0.35">
      <c r="A1089" s="1">
        <v>45769</v>
      </c>
      <c r="B1089" t="s">
        <v>998</v>
      </c>
      <c r="D1089" s="1">
        <v>45709</v>
      </c>
      <c r="E1089" t="s">
        <v>2192</v>
      </c>
    </row>
    <row r="1090" spans="1:5" x14ac:dyDescent="0.35">
      <c r="A1090" s="1">
        <v>45770</v>
      </c>
      <c r="B1090" t="s">
        <v>999</v>
      </c>
      <c r="D1090" s="1">
        <v>45712</v>
      </c>
      <c r="E1090" t="s">
        <v>2193</v>
      </c>
    </row>
    <row r="1091" spans="1:5" x14ac:dyDescent="0.35">
      <c r="A1091" s="1">
        <v>45771</v>
      </c>
      <c r="B1091" t="s">
        <v>1000</v>
      </c>
      <c r="D1091" s="1">
        <v>45713</v>
      </c>
      <c r="E1091" t="s">
        <v>1321</v>
      </c>
    </row>
    <row r="1092" spans="1:5" x14ac:dyDescent="0.35">
      <c r="A1092" s="1">
        <v>45772</v>
      </c>
      <c r="B1092" t="s">
        <v>1001</v>
      </c>
      <c r="D1092" s="1">
        <v>45714</v>
      </c>
      <c r="E1092" t="s">
        <v>1216</v>
      </c>
    </row>
    <row r="1093" spans="1:5" x14ac:dyDescent="0.35">
      <c r="A1093" s="1">
        <v>45775</v>
      </c>
      <c r="B1093" t="s">
        <v>1002</v>
      </c>
      <c r="D1093" s="1">
        <v>45715</v>
      </c>
      <c r="E1093" t="s">
        <v>1830</v>
      </c>
    </row>
    <row r="1094" spans="1:5" x14ac:dyDescent="0.35">
      <c r="A1094" s="1">
        <v>45776</v>
      </c>
      <c r="B1094" t="s">
        <v>1003</v>
      </c>
      <c r="D1094" s="1">
        <v>45716</v>
      </c>
      <c r="E1094" t="s">
        <v>2194</v>
      </c>
    </row>
    <row r="1095" spans="1:5" x14ac:dyDescent="0.35">
      <c r="A1095" s="1">
        <v>45777</v>
      </c>
      <c r="B1095" t="s">
        <v>1004</v>
      </c>
      <c r="D1095" s="1">
        <v>45719</v>
      </c>
      <c r="E1095" t="s">
        <v>2195</v>
      </c>
    </row>
    <row r="1096" spans="1:5" x14ac:dyDescent="0.35">
      <c r="A1096" s="1">
        <v>45778</v>
      </c>
      <c r="B1096" t="s">
        <v>1005</v>
      </c>
      <c r="D1096" s="1">
        <v>45720</v>
      </c>
      <c r="E1096" t="s">
        <v>1331</v>
      </c>
    </row>
    <row r="1097" spans="1:5" x14ac:dyDescent="0.35">
      <c r="A1097" s="1">
        <v>45779</v>
      </c>
      <c r="B1097" t="s">
        <v>1006</v>
      </c>
      <c r="D1097" s="1">
        <v>45721</v>
      </c>
      <c r="E1097" t="s">
        <v>2196</v>
      </c>
    </row>
    <row r="1098" spans="1:5" x14ac:dyDescent="0.35">
      <c r="A1098" s="1">
        <v>45782</v>
      </c>
      <c r="B1098" t="s">
        <v>1007</v>
      </c>
      <c r="D1098" s="1">
        <v>45722</v>
      </c>
      <c r="E1098" t="s">
        <v>1204</v>
      </c>
    </row>
    <row r="1099" spans="1:5" x14ac:dyDescent="0.35">
      <c r="A1099" s="1">
        <v>45783</v>
      </c>
      <c r="B1099" t="s">
        <v>1008</v>
      </c>
      <c r="D1099" s="1">
        <v>45723</v>
      </c>
      <c r="E1099" t="s">
        <v>2197</v>
      </c>
    </row>
    <row r="1100" spans="1:5" x14ac:dyDescent="0.35">
      <c r="A1100" s="1">
        <v>45784</v>
      </c>
      <c r="B1100" t="s">
        <v>1009</v>
      </c>
      <c r="D1100" s="1">
        <v>45726</v>
      </c>
      <c r="E1100" t="s">
        <v>2198</v>
      </c>
    </row>
    <row r="1101" spans="1:5" x14ac:dyDescent="0.35">
      <c r="A1101" s="1">
        <v>45785</v>
      </c>
      <c r="B1101" t="s">
        <v>1010</v>
      </c>
      <c r="D1101" s="1">
        <v>45727</v>
      </c>
      <c r="E1101" t="s">
        <v>2199</v>
      </c>
    </row>
    <row r="1102" spans="1:5" x14ac:dyDescent="0.35">
      <c r="A1102" s="1">
        <v>45786</v>
      </c>
      <c r="B1102" t="s">
        <v>1011</v>
      </c>
      <c r="D1102" s="1">
        <v>45728</v>
      </c>
      <c r="E1102" t="s">
        <v>2200</v>
      </c>
    </row>
    <row r="1103" spans="1:5" x14ac:dyDescent="0.35">
      <c r="A1103" s="1">
        <v>45789</v>
      </c>
      <c r="B1103" t="s">
        <v>1012</v>
      </c>
      <c r="D1103" s="1">
        <v>45729</v>
      </c>
      <c r="E1103" t="s">
        <v>2201</v>
      </c>
    </row>
    <row r="1104" spans="1:5" x14ac:dyDescent="0.35">
      <c r="A1104" s="1">
        <v>45790</v>
      </c>
      <c r="B1104" t="s">
        <v>1013</v>
      </c>
      <c r="D1104" s="1">
        <v>45730</v>
      </c>
      <c r="E1104" t="s">
        <v>1865</v>
      </c>
    </row>
    <row r="1105" spans="1:5" x14ac:dyDescent="0.35">
      <c r="A1105" s="1">
        <v>45791</v>
      </c>
      <c r="B1105" t="s">
        <v>1014</v>
      </c>
      <c r="D1105" s="1">
        <v>45733</v>
      </c>
      <c r="E1105" t="s">
        <v>2202</v>
      </c>
    </row>
    <row r="1106" spans="1:5" x14ac:dyDescent="0.35">
      <c r="A1106" s="1">
        <v>45792</v>
      </c>
      <c r="B1106" t="s">
        <v>1015</v>
      </c>
      <c r="D1106" s="1">
        <v>45734</v>
      </c>
      <c r="E1106" t="s">
        <v>2203</v>
      </c>
    </row>
    <row r="1107" spans="1:5" x14ac:dyDescent="0.35">
      <c r="A1107" s="1">
        <v>45793</v>
      </c>
      <c r="B1107" t="s">
        <v>1016</v>
      </c>
      <c r="D1107" s="1">
        <v>45735</v>
      </c>
      <c r="E1107" t="s">
        <v>2204</v>
      </c>
    </row>
    <row r="1108" spans="1:5" x14ac:dyDescent="0.35">
      <c r="A1108" s="1">
        <v>45796</v>
      </c>
      <c r="B1108" t="s">
        <v>1017</v>
      </c>
      <c r="D1108" s="1">
        <v>45736</v>
      </c>
      <c r="E1108" t="s">
        <v>2205</v>
      </c>
    </row>
    <row r="1109" spans="1:5" x14ac:dyDescent="0.35">
      <c r="A1109" s="1">
        <v>45797</v>
      </c>
      <c r="B1109" t="s">
        <v>1018</v>
      </c>
      <c r="D1109" s="1">
        <v>45737</v>
      </c>
      <c r="E1109" t="s">
        <v>2206</v>
      </c>
    </row>
    <row r="1110" spans="1:5" x14ac:dyDescent="0.35">
      <c r="A1110" s="1">
        <v>45798</v>
      </c>
      <c r="B1110" t="s">
        <v>1020</v>
      </c>
      <c r="D1110" s="1">
        <v>45740</v>
      </c>
      <c r="E1110" t="s">
        <v>2207</v>
      </c>
    </row>
    <row r="1111" spans="1:5" x14ac:dyDescent="0.35">
      <c r="A1111" s="1">
        <v>45799</v>
      </c>
      <c r="B1111" t="s">
        <v>1021</v>
      </c>
      <c r="D1111" s="1">
        <v>45741</v>
      </c>
      <c r="E1111" t="s">
        <v>2144</v>
      </c>
    </row>
    <row r="1112" spans="1:5" x14ac:dyDescent="0.35">
      <c r="A1112" s="1">
        <v>45800</v>
      </c>
      <c r="B1112" t="s">
        <v>1022</v>
      </c>
      <c r="D1112" s="1">
        <v>45742</v>
      </c>
      <c r="E1112" t="s">
        <v>2208</v>
      </c>
    </row>
    <row r="1113" spans="1:5" x14ac:dyDescent="0.35">
      <c r="A1113" s="1">
        <v>45804</v>
      </c>
      <c r="B1113" t="s">
        <v>1023</v>
      </c>
      <c r="D1113" s="1">
        <v>45743</v>
      </c>
      <c r="E1113" t="s">
        <v>2209</v>
      </c>
    </row>
    <row r="1114" spans="1:5" x14ac:dyDescent="0.35">
      <c r="A1114" s="1">
        <v>45805</v>
      </c>
      <c r="B1114" t="s">
        <v>1024</v>
      </c>
      <c r="D1114" s="1">
        <v>45744</v>
      </c>
      <c r="E1114" t="s">
        <v>2210</v>
      </c>
    </row>
    <row r="1115" spans="1:5" x14ac:dyDescent="0.35">
      <c r="A1115" s="1">
        <v>45806</v>
      </c>
      <c r="B1115" t="s">
        <v>1025</v>
      </c>
      <c r="D1115" s="1">
        <v>45747</v>
      </c>
      <c r="E1115" t="s">
        <v>2211</v>
      </c>
    </row>
    <row r="1116" spans="1:5" x14ac:dyDescent="0.35">
      <c r="A1116" s="1">
        <v>45807</v>
      </c>
      <c r="B1116" t="s">
        <v>1026</v>
      </c>
      <c r="D1116" s="1">
        <v>45748</v>
      </c>
      <c r="E1116" t="s">
        <v>2212</v>
      </c>
    </row>
    <row r="1117" spans="1:5" x14ac:dyDescent="0.35">
      <c r="A1117" s="1">
        <v>45810</v>
      </c>
      <c r="B1117" t="s">
        <v>1027</v>
      </c>
      <c r="D1117" s="1">
        <v>45749</v>
      </c>
      <c r="E1117" t="s">
        <v>2159</v>
      </c>
    </row>
    <row r="1118" spans="1:5" x14ac:dyDescent="0.35">
      <c r="A1118" s="1">
        <v>45811</v>
      </c>
      <c r="B1118" t="s">
        <v>1028</v>
      </c>
      <c r="D1118" s="1">
        <v>45750</v>
      </c>
      <c r="E1118" t="s">
        <v>1863</v>
      </c>
    </row>
    <row r="1119" spans="1:5" x14ac:dyDescent="0.35">
      <c r="A1119" s="1">
        <v>45812</v>
      </c>
      <c r="B1119" t="s">
        <v>1029</v>
      </c>
      <c r="D1119" s="1">
        <v>45751</v>
      </c>
      <c r="E1119" t="s">
        <v>2213</v>
      </c>
    </row>
    <row r="1120" spans="1:5" x14ac:dyDescent="0.35">
      <c r="A1120" s="1">
        <v>45813</v>
      </c>
      <c r="B1120" t="s">
        <v>1031</v>
      </c>
      <c r="D1120" s="1">
        <v>45754</v>
      </c>
      <c r="E1120" t="s">
        <v>2214</v>
      </c>
    </row>
    <row r="1121" spans="1:5" x14ac:dyDescent="0.35">
      <c r="A1121" s="1">
        <v>45814</v>
      </c>
      <c r="B1121" t="s">
        <v>1032</v>
      </c>
      <c r="D1121" s="1">
        <v>45755</v>
      </c>
      <c r="E1121" t="s">
        <v>2215</v>
      </c>
    </row>
    <row r="1122" spans="1:5" x14ac:dyDescent="0.35">
      <c r="A1122" s="1">
        <v>45817</v>
      </c>
      <c r="B1122" t="s">
        <v>1033</v>
      </c>
      <c r="D1122" s="1">
        <v>45756</v>
      </c>
      <c r="E1122" t="s">
        <v>2216</v>
      </c>
    </row>
    <row r="1123" spans="1:5" x14ac:dyDescent="0.35">
      <c r="A1123" s="1">
        <v>45818</v>
      </c>
      <c r="B1123" t="s">
        <v>1034</v>
      </c>
      <c r="D1123" s="1">
        <v>45757</v>
      </c>
      <c r="E1123" t="s">
        <v>2217</v>
      </c>
    </row>
    <row r="1124" spans="1:5" x14ac:dyDescent="0.35">
      <c r="A1124" s="1">
        <v>45819</v>
      </c>
      <c r="B1124" t="s">
        <v>1035</v>
      </c>
      <c r="D1124" s="1">
        <v>45758</v>
      </c>
      <c r="E1124" t="s">
        <v>2218</v>
      </c>
    </row>
    <row r="1125" spans="1:5" x14ac:dyDescent="0.35">
      <c r="A1125" s="1">
        <v>45820</v>
      </c>
      <c r="B1125" t="s">
        <v>1037</v>
      </c>
      <c r="D1125" s="1">
        <v>45761</v>
      </c>
      <c r="E1125" t="s">
        <v>2220</v>
      </c>
    </row>
    <row r="1126" spans="1:5" x14ac:dyDescent="0.35">
      <c r="A1126" s="1">
        <v>45821</v>
      </c>
      <c r="B1126" t="s">
        <v>1038</v>
      </c>
      <c r="D1126" s="1">
        <v>45762</v>
      </c>
      <c r="E1126" t="s">
        <v>2221</v>
      </c>
    </row>
    <row r="1127" spans="1:5" x14ac:dyDescent="0.35">
      <c r="A1127" s="1">
        <v>45824</v>
      </c>
      <c r="B1127" t="s">
        <v>1039</v>
      </c>
      <c r="D1127" s="1">
        <v>45763</v>
      </c>
      <c r="E1127" t="s">
        <v>2222</v>
      </c>
    </row>
    <row r="1128" spans="1:5" x14ac:dyDescent="0.35">
      <c r="A1128" s="1">
        <v>45825</v>
      </c>
      <c r="B1128" t="s">
        <v>1040</v>
      </c>
      <c r="D1128" s="1">
        <v>45764</v>
      </c>
      <c r="E1128" t="s">
        <v>2223</v>
      </c>
    </row>
    <row r="1129" spans="1:5" x14ac:dyDescent="0.35">
      <c r="A1129" s="1">
        <v>45826</v>
      </c>
      <c r="B1129" t="s">
        <v>1041</v>
      </c>
      <c r="D1129" s="1">
        <v>45769</v>
      </c>
      <c r="E1129" t="s">
        <v>2225</v>
      </c>
    </row>
    <row r="1130" spans="1:5" x14ac:dyDescent="0.35">
      <c r="A1130" s="1">
        <v>45828</v>
      </c>
      <c r="B1130" t="s">
        <v>1042</v>
      </c>
      <c r="D1130" s="1">
        <v>45770</v>
      </c>
      <c r="E1130" t="s">
        <v>2226</v>
      </c>
    </row>
    <row r="1131" spans="1:5" x14ac:dyDescent="0.35">
      <c r="A1131" s="1">
        <v>45831</v>
      </c>
      <c r="B1131" t="s">
        <v>1043</v>
      </c>
      <c r="D1131" s="1">
        <v>45771</v>
      </c>
      <c r="E1131" t="s">
        <v>2227</v>
      </c>
    </row>
    <row r="1132" spans="1:5" x14ac:dyDescent="0.35">
      <c r="A1132" s="1">
        <v>45832</v>
      </c>
      <c r="B1132" t="s">
        <v>1044</v>
      </c>
      <c r="D1132" s="1">
        <v>45772</v>
      </c>
      <c r="E1132" t="s">
        <v>2228</v>
      </c>
    </row>
    <row r="1133" spans="1:5" x14ac:dyDescent="0.35">
      <c r="A1133" s="1">
        <v>45833</v>
      </c>
      <c r="B1133" t="s">
        <v>1045</v>
      </c>
      <c r="D1133" s="1">
        <v>45775</v>
      </c>
      <c r="E1133" t="s">
        <v>2229</v>
      </c>
    </row>
    <row r="1134" spans="1:5" x14ac:dyDescent="0.35">
      <c r="A1134" s="1">
        <v>45834</v>
      </c>
      <c r="B1134" t="s">
        <v>1046</v>
      </c>
      <c r="D1134" s="1">
        <v>45776</v>
      </c>
      <c r="E1134" t="s">
        <v>2230</v>
      </c>
    </row>
    <row r="1135" spans="1:5" x14ac:dyDescent="0.35">
      <c r="A1135" s="1">
        <v>45835</v>
      </c>
      <c r="B1135" t="s">
        <v>1047</v>
      </c>
      <c r="D1135" s="1">
        <v>45777</v>
      </c>
      <c r="E1135" t="s">
        <v>2231</v>
      </c>
    </row>
    <row r="1136" spans="1:5" x14ac:dyDescent="0.35">
      <c r="A1136" s="1">
        <v>45838</v>
      </c>
      <c r="B1136" t="s">
        <v>1048</v>
      </c>
      <c r="D1136" s="1">
        <v>45778</v>
      </c>
      <c r="E1136" t="s">
        <v>2232</v>
      </c>
    </row>
    <row r="1137" spans="1:5" x14ac:dyDescent="0.35">
      <c r="A1137" s="1">
        <v>45839</v>
      </c>
      <c r="B1137" t="s">
        <v>1049</v>
      </c>
      <c r="D1137" s="1">
        <v>45779</v>
      </c>
      <c r="E1137" t="s">
        <v>2233</v>
      </c>
    </row>
    <row r="1138" spans="1:5" x14ac:dyDescent="0.35">
      <c r="A1138" s="1">
        <v>45840</v>
      </c>
      <c r="B1138" t="s">
        <v>1050</v>
      </c>
      <c r="D1138" s="1">
        <v>45782</v>
      </c>
      <c r="E1138" t="s">
        <v>2234</v>
      </c>
    </row>
    <row r="1139" spans="1:5" x14ac:dyDescent="0.35">
      <c r="A1139" s="1">
        <v>45841</v>
      </c>
      <c r="B1139" t="s">
        <v>1051</v>
      </c>
      <c r="D1139" s="1">
        <v>45783</v>
      </c>
      <c r="E1139" t="s">
        <v>2235</v>
      </c>
    </row>
    <row r="1140" spans="1:5" x14ac:dyDescent="0.35">
      <c r="A1140" s="1">
        <v>45842</v>
      </c>
      <c r="B1140" t="s">
        <v>1002</v>
      </c>
      <c r="D1140" s="1">
        <v>45784</v>
      </c>
      <c r="E1140" t="s">
        <v>2219</v>
      </c>
    </row>
    <row r="1141" spans="1:5" x14ac:dyDescent="0.35">
      <c r="A1141" s="1">
        <v>45845</v>
      </c>
      <c r="B1141" t="s">
        <v>1052</v>
      </c>
      <c r="D1141" s="1">
        <v>45785</v>
      </c>
      <c r="E1141" t="s">
        <v>2236</v>
      </c>
    </row>
    <row r="1142" spans="1:5" x14ac:dyDescent="0.35">
      <c r="A1142" s="1">
        <v>45846</v>
      </c>
      <c r="B1142" t="s">
        <v>1053</v>
      </c>
      <c r="D1142" s="1">
        <v>45786</v>
      </c>
      <c r="E1142" t="s">
        <v>2237</v>
      </c>
    </row>
    <row r="1143" spans="1:5" x14ac:dyDescent="0.35">
      <c r="A1143" s="1">
        <v>45847</v>
      </c>
      <c r="B1143" t="s">
        <v>1054</v>
      </c>
      <c r="D1143" s="1">
        <v>45789</v>
      </c>
      <c r="E1143" t="s">
        <v>2238</v>
      </c>
    </row>
    <row r="1144" spans="1:5" x14ac:dyDescent="0.35">
      <c r="A1144" s="1">
        <v>45848</v>
      </c>
      <c r="B1144" t="s">
        <v>1044</v>
      </c>
      <c r="D1144" s="1">
        <v>45790</v>
      </c>
      <c r="E1144" t="s">
        <v>2239</v>
      </c>
    </row>
    <row r="1145" spans="1:5" x14ac:dyDescent="0.35">
      <c r="A1145" s="1">
        <v>45849</v>
      </c>
      <c r="B1145" t="s">
        <v>1036</v>
      </c>
      <c r="D1145" s="1">
        <v>45791</v>
      </c>
      <c r="E1145" t="s">
        <v>2240</v>
      </c>
    </row>
    <row r="1146" spans="1:5" x14ac:dyDescent="0.35">
      <c r="A1146" s="1">
        <v>45852</v>
      </c>
      <c r="B1146" t="s">
        <v>1055</v>
      </c>
      <c r="D1146" s="1">
        <v>45792</v>
      </c>
      <c r="E1146" t="s">
        <v>2241</v>
      </c>
    </row>
    <row r="1147" spans="1:5" x14ac:dyDescent="0.35">
      <c r="A1147" s="1">
        <v>45853</v>
      </c>
      <c r="B1147" t="s">
        <v>1056</v>
      </c>
      <c r="D1147" s="1">
        <v>45793</v>
      </c>
      <c r="E1147" t="s">
        <v>2242</v>
      </c>
    </row>
    <row r="1148" spans="1:5" x14ac:dyDescent="0.35">
      <c r="A1148" s="1">
        <v>45854</v>
      </c>
      <c r="B1148" t="s">
        <v>1057</v>
      </c>
      <c r="D1148" s="1">
        <v>45796</v>
      </c>
      <c r="E1148" t="s">
        <v>2243</v>
      </c>
    </row>
    <row r="1149" spans="1:5" x14ac:dyDescent="0.35">
      <c r="A1149" s="1">
        <v>45855</v>
      </c>
      <c r="B1149" t="s">
        <v>1058</v>
      </c>
      <c r="D1149" s="1">
        <v>45797</v>
      </c>
      <c r="E1149" t="s">
        <v>2244</v>
      </c>
    </row>
    <row r="1150" spans="1:5" x14ac:dyDescent="0.35">
      <c r="A1150" s="1">
        <v>45856</v>
      </c>
      <c r="B1150" t="s">
        <v>1059</v>
      </c>
      <c r="D1150" s="1">
        <v>45798</v>
      </c>
      <c r="E1150" t="s">
        <v>2245</v>
      </c>
    </row>
    <row r="1151" spans="1:5" x14ac:dyDescent="0.35">
      <c r="A1151" s="1">
        <v>45859</v>
      </c>
      <c r="B1151" t="s">
        <v>1060</v>
      </c>
      <c r="D1151" s="1">
        <v>45799</v>
      </c>
      <c r="E1151" t="s">
        <v>2246</v>
      </c>
    </row>
    <row r="1152" spans="1:5" x14ac:dyDescent="0.35">
      <c r="A1152" s="1">
        <v>45860</v>
      </c>
      <c r="B1152" t="s">
        <v>1061</v>
      </c>
      <c r="D1152" s="1">
        <v>45800</v>
      </c>
      <c r="E1152" t="s">
        <v>2247</v>
      </c>
    </row>
    <row r="1153" spans="1:5" x14ac:dyDescent="0.35">
      <c r="A1153" s="1">
        <v>45861</v>
      </c>
      <c r="B1153" t="s">
        <v>1062</v>
      </c>
      <c r="D1153" s="1">
        <v>45803</v>
      </c>
      <c r="E1153" t="s">
        <v>2248</v>
      </c>
    </row>
    <row r="1154" spans="1:5" x14ac:dyDescent="0.35">
      <c r="A1154" s="1">
        <v>45862</v>
      </c>
      <c r="B1154" t="s">
        <v>1063</v>
      </c>
      <c r="D1154" s="1">
        <v>45804</v>
      </c>
      <c r="E1154" t="s">
        <v>2249</v>
      </c>
    </row>
    <row r="1155" spans="1:5" x14ac:dyDescent="0.35">
      <c r="A1155" s="1">
        <v>45863</v>
      </c>
      <c r="B1155" t="s">
        <v>1064</v>
      </c>
      <c r="D1155" s="1">
        <v>45805</v>
      </c>
      <c r="E1155" t="s">
        <v>2250</v>
      </c>
    </row>
    <row r="1156" spans="1:5" x14ac:dyDescent="0.35">
      <c r="A1156" s="1">
        <v>45866</v>
      </c>
      <c r="B1156" t="s">
        <v>1065</v>
      </c>
      <c r="D1156" s="1">
        <v>45806</v>
      </c>
      <c r="E1156" t="s">
        <v>2251</v>
      </c>
    </row>
    <row r="1157" spans="1:5" x14ac:dyDescent="0.35">
      <c r="A1157" s="1">
        <v>45867</v>
      </c>
      <c r="B1157" t="s">
        <v>1066</v>
      </c>
      <c r="D1157" s="1">
        <v>45807</v>
      </c>
      <c r="E1157" t="s">
        <v>2252</v>
      </c>
    </row>
    <row r="1158" spans="1:5" x14ac:dyDescent="0.35">
      <c r="A1158" s="1">
        <v>45868</v>
      </c>
      <c r="B1158" t="s">
        <v>1067</v>
      </c>
      <c r="D1158" s="1">
        <v>45810</v>
      </c>
      <c r="E1158" t="s">
        <v>2253</v>
      </c>
    </row>
    <row r="1159" spans="1:5" x14ac:dyDescent="0.35">
      <c r="A1159" s="1">
        <v>45869</v>
      </c>
      <c r="B1159" t="s">
        <v>1019</v>
      </c>
      <c r="D1159" s="1">
        <v>45811</v>
      </c>
      <c r="E1159" t="s">
        <v>2254</v>
      </c>
    </row>
    <row r="1160" spans="1:5" x14ac:dyDescent="0.35">
      <c r="A1160" s="1">
        <v>45870</v>
      </c>
      <c r="B1160" t="s">
        <v>1068</v>
      </c>
      <c r="D1160" s="1">
        <v>45812</v>
      </c>
      <c r="E1160" t="s">
        <v>2255</v>
      </c>
    </row>
    <row r="1161" spans="1:5" x14ac:dyDescent="0.35">
      <c r="A1161" s="1">
        <v>45873</v>
      </c>
      <c r="B1161" t="s">
        <v>1069</v>
      </c>
      <c r="D1161" s="1">
        <v>45813</v>
      </c>
      <c r="E1161" t="s">
        <v>2256</v>
      </c>
    </row>
    <row r="1162" spans="1:5" x14ac:dyDescent="0.35">
      <c r="A1162" s="1">
        <v>45874</v>
      </c>
      <c r="B1162" t="s">
        <v>1070</v>
      </c>
      <c r="D1162" s="1">
        <v>45814</v>
      </c>
      <c r="E1162" t="s">
        <v>2257</v>
      </c>
    </row>
    <row r="1163" spans="1:5" x14ac:dyDescent="0.35">
      <c r="A1163" s="1">
        <v>45875</v>
      </c>
      <c r="B1163" t="s">
        <v>1030</v>
      </c>
      <c r="D1163" s="1">
        <v>45817</v>
      </c>
      <c r="E1163" t="s">
        <v>2258</v>
      </c>
    </row>
    <row r="1164" spans="1:5" x14ac:dyDescent="0.35">
      <c r="A1164" s="1">
        <v>45876</v>
      </c>
      <c r="B1164" t="s">
        <v>1071</v>
      </c>
      <c r="D1164" s="1">
        <v>45818</v>
      </c>
      <c r="E1164" t="s">
        <v>2259</v>
      </c>
    </row>
    <row r="1165" spans="1:5" x14ac:dyDescent="0.35">
      <c r="A1165" s="1">
        <v>45877</v>
      </c>
      <c r="B1165" t="s">
        <v>1072</v>
      </c>
      <c r="D1165" s="1">
        <v>45819</v>
      </c>
      <c r="E1165" t="s">
        <v>2260</v>
      </c>
    </row>
    <row r="1166" spans="1:5" x14ac:dyDescent="0.35">
      <c r="A1166" s="1">
        <v>45880</v>
      </c>
      <c r="B1166" t="s">
        <v>1073</v>
      </c>
      <c r="D1166" s="1">
        <v>45820</v>
      </c>
      <c r="E1166" t="s">
        <v>2261</v>
      </c>
    </row>
    <row r="1167" spans="1:5" x14ac:dyDescent="0.35">
      <c r="A1167" s="1">
        <v>45881</v>
      </c>
      <c r="B1167" t="s">
        <v>1074</v>
      </c>
      <c r="D1167" s="1">
        <v>45821</v>
      </c>
      <c r="E1167" t="s">
        <v>2262</v>
      </c>
    </row>
    <row r="1168" spans="1:5" x14ac:dyDescent="0.35">
      <c r="A1168" s="1">
        <v>45882</v>
      </c>
      <c r="B1168" t="s">
        <v>1075</v>
      </c>
      <c r="D1168" s="1">
        <v>45824</v>
      </c>
      <c r="E1168" t="s">
        <v>2263</v>
      </c>
    </row>
    <row r="1169" spans="1:5" x14ac:dyDescent="0.35">
      <c r="A1169" s="1">
        <v>45883</v>
      </c>
      <c r="B1169" t="s">
        <v>1076</v>
      </c>
      <c r="D1169" s="1">
        <v>45825</v>
      </c>
      <c r="E1169" t="s">
        <v>2224</v>
      </c>
    </row>
    <row r="1170" spans="1:5" x14ac:dyDescent="0.35">
      <c r="A1170" s="1">
        <v>45884</v>
      </c>
      <c r="B1170" t="s">
        <v>1077</v>
      </c>
      <c r="D1170" s="1">
        <v>45826</v>
      </c>
      <c r="E1170" t="s">
        <v>2265</v>
      </c>
    </row>
    <row r="1171" spans="1:5" x14ac:dyDescent="0.35">
      <c r="A1171" s="1">
        <v>45887</v>
      </c>
      <c r="B1171" t="s">
        <v>1078</v>
      </c>
      <c r="D1171" s="1">
        <v>45827</v>
      </c>
      <c r="E1171" t="s">
        <v>2266</v>
      </c>
    </row>
    <row r="1172" spans="1:5" x14ac:dyDescent="0.35">
      <c r="A1172" s="1">
        <v>45888</v>
      </c>
      <c r="B1172" t="s">
        <v>1079</v>
      </c>
      <c r="D1172" s="1">
        <v>45828</v>
      </c>
      <c r="E1172" t="s">
        <v>2267</v>
      </c>
    </row>
    <row r="1173" spans="1:5" x14ac:dyDescent="0.35">
      <c r="A1173" s="1">
        <v>45889</v>
      </c>
      <c r="B1173" t="s">
        <v>1080</v>
      </c>
      <c r="D1173" s="1">
        <v>45831</v>
      </c>
      <c r="E1173" t="s">
        <v>2268</v>
      </c>
    </row>
    <row r="1174" spans="1:5" x14ac:dyDescent="0.35">
      <c r="A1174" s="1">
        <v>45890</v>
      </c>
      <c r="B1174" t="s">
        <v>1081</v>
      </c>
      <c r="D1174" s="1">
        <v>45832</v>
      </c>
      <c r="E1174" t="s">
        <v>2269</v>
      </c>
    </row>
    <row r="1175" spans="1:5" x14ac:dyDescent="0.35">
      <c r="A1175" s="1">
        <v>45891</v>
      </c>
      <c r="B1175" t="s">
        <v>1069</v>
      </c>
      <c r="D1175" s="1">
        <v>45833</v>
      </c>
      <c r="E1175" t="s">
        <v>2271</v>
      </c>
    </row>
    <row r="1176" spans="1:5" x14ac:dyDescent="0.35">
      <c r="A1176" s="1">
        <v>45894</v>
      </c>
      <c r="B1176" t="s">
        <v>1082</v>
      </c>
      <c r="D1176" s="1">
        <v>45834</v>
      </c>
      <c r="E1176" t="s">
        <v>2272</v>
      </c>
    </row>
    <row r="1177" spans="1:5" x14ac:dyDescent="0.35">
      <c r="A1177" s="1">
        <v>45895</v>
      </c>
      <c r="B1177" t="s">
        <v>1083</v>
      </c>
      <c r="D1177" s="1">
        <v>45835</v>
      </c>
      <c r="E1177" t="s">
        <v>2273</v>
      </c>
    </row>
    <row r="1178" spans="1:5" x14ac:dyDescent="0.35">
      <c r="A1178" s="1">
        <v>45896</v>
      </c>
      <c r="B1178" t="s">
        <v>1084</v>
      </c>
      <c r="D1178" s="1">
        <v>45838</v>
      </c>
      <c r="E1178" t="s">
        <v>2275</v>
      </c>
    </row>
    <row r="1179" spans="1:5" x14ac:dyDescent="0.35">
      <c r="A1179" s="1">
        <v>45897</v>
      </c>
      <c r="B1179" t="s">
        <v>1085</v>
      </c>
      <c r="D1179" s="1">
        <v>45839</v>
      </c>
      <c r="E1179" t="s">
        <v>2276</v>
      </c>
    </row>
    <row r="1180" spans="1:5" x14ac:dyDescent="0.35">
      <c r="A1180" s="1">
        <v>45898</v>
      </c>
      <c r="B1180" t="s">
        <v>1086</v>
      </c>
      <c r="D1180" s="1">
        <v>45840</v>
      </c>
      <c r="E1180" t="s">
        <v>2277</v>
      </c>
    </row>
    <row r="1181" spans="1:5" x14ac:dyDescent="0.35">
      <c r="A1181" s="1">
        <v>45902</v>
      </c>
      <c r="B1181" t="s">
        <v>1087</v>
      </c>
      <c r="D1181" s="1">
        <v>45841</v>
      </c>
      <c r="E1181" t="s">
        <v>2278</v>
      </c>
    </row>
    <row r="1182" spans="1:5" x14ac:dyDescent="0.35">
      <c r="A1182" s="1">
        <v>45903</v>
      </c>
      <c r="B1182" t="s">
        <v>1088</v>
      </c>
      <c r="D1182" s="1">
        <v>45842</v>
      </c>
      <c r="E1182" t="s">
        <v>2279</v>
      </c>
    </row>
    <row r="1183" spans="1:5" x14ac:dyDescent="0.35">
      <c r="A1183" s="1">
        <v>45904</v>
      </c>
      <c r="B1183" t="s">
        <v>1089</v>
      </c>
      <c r="D1183" s="1">
        <v>45845</v>
      </c>
      <c r="E1183" t="s">
        <v>2281</v>
      </c>
    </row>
    <row r="1184" spans="1:5" x14ac:dyDescent="0.35">
      <c r="A1184" s="1">
        <v>45905</v>
      </c>
      <c r="B1184" t="s">
        <v>1090</v>
      </c>
      <c r="D1184" s="1">
        <v>45846</v>
      </c>
      <c r="E1184" t="s">
        <v>2282</v>
      </c>
    </row>
    <row r="1185" spans="1:5" x14ac:dyDescent="0.35">
      <c r="A1185" s="1">
        <v>45908</v>
      </c>
      <c r="B1185" t="s">
        <v>1091</v>
      </c>
      <c r="D1185" s="1">
        <v>45847</v>
      </c>
      <c r="E1185" t="s">
        <v>2283</v>
      </c>
    </row>
    <row r="1186" spans="1:5" x14ac:dyDescent="0.35">
      <c r="A1186" s="1">
        <v>45909</v>
      </c>
      <c r="B1186" t="s">
        <v>1092</v>
      </c>
      <c r="D1186" s="1">
        <v>45848</v>
      </c>
      <c r="E1186" t="s">
        <v>2284</v>
      </c>
    </row>
    <row r="1187" spans="1:5" x14ac:dyDescent="0.35">
      <c r="A1187" s="1">
        <v>45910</v>
      </c>
      <c r="B1187" t="s">
        <v>1093</v>
      </c>
      <c r="D1187" s="1">
        <v>45849</v>
      </c>
      <c r="E1187" t="s">
        <v>2285</v>
      </c>
    </row>
    <row r="1188" spans="1:5" x14ac:dyDescent="0.35">
      <c r="A1188" s="1">
        <v>45911</v>
      </c>
      <c r="B1188" t="s">
        <v>1094</v>
      </c>
      <c r="D1188" s="1">
        <v>45852</v>
      </c>
      <c r="E1188" t="s">
        <v>2287</v>
      </c>
    </row>
    <row r="1189" spans="1:5" x14ac:dyDescent="0.35">
      <c r="A1189" s="1">
        <v>45912</v>
      </c>
      <c r="B1189" t="s">
        <v>1095</v>
      </c>
      <c r="D1189" s="1">
        <v>45853</v>
      </c>
      <c r="E1189" t="s">
        <v>2288</v>
      </c>
    </row>
    <row r="1190" spans="1:5" x14ac:dyDescent="0.35">
      <c r="A1190" s="1">
        <v>45915</v>
      </c>
      <c r="B1190" t="s">
        <v>1096</v>
      </c>
      <c r="D1190" s="1">
        <v>45854</v>
      </c>
      <c r="E1190" t="s">
        <v>2289</v>
      </c>
    </row>
    <row r="1191" spans="1:5" x14ac:dyDescent="0.35">
      <c r="A1191" s="1">
        <v>45916</v>
      </c>
      <c r="B1191" t="s">
        <v>1097</v>
      </c>
      <c r="D1191" s="1">
        <v>45855</v>
      </c>
      <c r="E1191" t="s">
        <v>2290</v>
      </c>
    </row>
    <row r="1192" spans="1:5" x14ac:dyDescent="0.35">
      <c r="A1192" s="1">
        <v>45917</v>
      </c>
      <c r="B1192" t="s">
        <v>1098</v>
      </c>
      <c r="D1192" s="1">
        <v>45856</v>
      </c>
      <c r="E1192" t="s">
        <v>2291</v>
      </c>
    </row>
    <row r="1193" spans="1:5" x14ac:dyDescent="0.35">
      <c r="A1193" s="1">
        <v>45918</v>
      </c>
      <c r="B1193" t="s">
        <v>1099</v>
      </c>
      <c r="D1193" s="1">
        <v>45859</v>
      </c>
      <c r="E1193" t="s">
        <v>2292</v>
      </c>
    </row>
    <row r="1194" spans="1:5" x14ac:dyDescent="0.35">
      <c r="A1194" s="1">
        <v>45919</v>
      </c>
      <c r="B1194" t="s">
        <v>1100</v>
      </c>
      <c r="D1194" s="1">
        <v>45860</v>
      </c>
      <c r="E1194" t="s">
        <v>2293</v>
      </c>
    </row>
    <row r="1195" spans="1:5" x14ac:dyDescent="0.35">
      <c r="A1195" s="1">
        <v>45922</v>
      </c>
      <c r="B1195" t="s">
        <v>1101</v>
      </c>
      <c r="D1195" s="1">
        <v>45861</v>
      </c>
      <c r="E1195" t="s">
        <v>2294</v>
      </c>
    </row>
    <row r="1196" spans="1:5" x14ac:dyDescent="0.35">
      <c r="A1196" s="1">
        <v>45923</v>
      </c>
      <c r="B1196" t="s">
        <v>1102</v>
      </c>
      <c r="D1196" s="1">
        <v>45862</v>
      </c>
      <c r="E1196" t="s">
        <v>2295</v>
      </c>
    </row>
    <row r="1197" spans="1:5" x14ac:dyDescent="0.35">
      <c r="A1197" s="1">
        <v>45924</v>
      </c>
      <c r="B1197" t="s">
        <v>1103</v>
      </c>
      <c r="D1197" s="1">
        <v>45863</v>
      </c>
      <c r="E1197" t="s">
        <v>2280</v>
      </c>
    </row>
    <row r="1198" spans="1:5" x14ac:dyDescent="0.35">
      <c r="A1198" s="1">
        <v>45925</v>
      </c>
      <c r="B1198" t="s">
        <v>1104</v>
      </c>
      <c r="D1198" s="1">
        <v>45866</v>
      </c>
      <c r="E1198" t="s">
        <v>2296</v>
      </c>
    </row>
    <row r="1199" spans="1:5" x14ac:dyDescent="0.35">
      <c r="A1199" s="1">
        <v>45926</v>
      </c>
      <c r="B1199" t="s">
        <v>1105</v>
      </c>
      <c r="D1199" s="1">
        <v>45867</v>
      </c>
      <c r="E1199" t="s">
        <v>2297</v>
      </c>
    </row>
    <row r="1200" spans="1:5" x14ac:dyDescent="0.35">
      <c r="A1200" s="1">
        <v>45929</v>
      </c>
      <c r="B1200" t="s">
        <v>1106</v>
      </c>
      <c r="D1200" s="1">
        <v>45868</v>
      </c>
      <c r="E1200" t="s">
        <v>2298</v>
      </c>
    </row>
    <row r="1201" spans="1:5" x14ac:dyDescent="0.35">
      <c r="A1201" s="1">
        <v>45930</v>
      </c>
      <c r="B1201" t="s">
        <v>1107</v>
      </c>
      <c r="D1201" s="1">
        <v>45869</v>
      </c>
      <c r="E1201" t="s">
        <v>2299</v>
      </c>
    </row>
    <row r="1202" spans="1:5" x14ac:dyDescent="0.35">
      <c r="A1202" s="1">
        <v>45931</v>
      </c>
      <c r="B1202" t="s">
        <v>1108</v>
      </c>
      <c r="D1202" s="1">
        <v>45870</v>
      </c>
      <c r="E1202" t="s">
        <v>2300</v>
      </c>
    </row>
    <row r="1203" spans="1:5" x14ac:dyDescent="0.35">
      <c r="A1203" s="1">
        <v>45932</v>
      </c>
      <c r="B1203" t="s">
        <v>1109</v>
      </c>
      <c r="D1203" s="1">
        <v>45873</v>
      </c>
      <c r="E1203" t="s">
        <v>2301</v>
      </c>
    </row>
    <row r="1204" spans="1:5" x14ac:dyDescent="0.35">
      <c r="A1204" s="1">
        <v>45933</v>
      </c>
      <c r="B1204" t="s">
        <v>1110</v>
      </c>
      <c r="D1204" s="1">
        <v>45874</v>
      </c>
      <c r="E1204" t="s">
        <v>2302</v>
      </c>
    </row>
    <row r="1205" spans="1:5" x14ac:dyDescent="0.35">
      <c r="A1205" s="1">
        <v>45936</v>
      </c>
      <c r="B1205" t="s">
        <v>1111</v>
      </c>
      <c r="D1205" s="1">
        <v>45875</v>
      </c>
      <c r="E1205" t="s">
        <v>2303</v>
      </c>
    </row>
    <row r="1206" spans="1:5" x14ac:dyDescent="0.35">
      <c r="A1206" s="1">
        <v>45937</v>
      </c>
      <c r="B1206" t="s">
        <v>1112</v>
      </c>
      <c r="D1206" s="1">
        <v>45876</v>
      </c>
      <c r="E1206" t="s">
        <v>2305</v>
      </c>
    </row>
    <row r="1207" spans="1:5" x14ac:dyDescent="0.35">
      <c r="A1207" s="1">
        <v>45938</v>
      </c>
      <c r="B1207" t="s">
        <v>1113</v>
      </c>
      <c r="D1207" s="1">
        <v>45877</v>
      </c>
      <c r="E1207" t="s">
        <v>2306</v>
      </c>
    </row>
    <row r="1208" spans="1:5" x14ac:dyDescent="0.35">
      <c r="A1208" s="1">
        <v>45939</v>
      </c>
      <c r="B1208" t="s">
        <v>1114</v>
      </c>
      <c r="D1208" s="1">
        <v>45880</v>
      </c>
      <c r="E1208" t="s">
        <v>2307</v>
      </c>
    </row>
    <row r="1209" spans="1:5" x14ac:dyDescent="0.35">
      <c r="A1209" s="1">
        <v>45940</v>
      </c>
      <c r="B1209" t="s">
        <v>1115</v>
      </c>
      <c r="D1209" s="1">
        <v>45881</v>
      </c>
      <c r="E1209" t="s">
        <v>2264</v>
      </c>
    </row>
    <row r="1210" spans="1:5" x14ac:dyDescent="0.35">
      <c r="A1210" s="1">
        <v>45943</v>
      </c>
      <c r="B1210" t="s">
        <v>1116</v>
      </c>
      <c r="D1210" s="1">
        <v>45882</v>
      </c>
      <c r="E1210" t="s">
        <v>2308</v>
      </c>
    </row>
    <row r="1211" spans="1:5" x14ac:dyDescent="0.35">
      <c r="A1211" s="1">
        <v>45944</v>
      </c>
      <c r="B1211" t="s">
        <v>1117</v>
      </c>
      <c r="D1211" s="1">
        <v>45883</v>
      </c>
      <c r="E1211" t="s">
        <v>2309</v>
      </c>
    </row>
    <row r="1212" spans="1:5" x14ac:dyDescent="0.35">
      <c r="A1212" s="1">
        <v>45945</v>
      </c>
      <c r="B1212" t="s">
        <v>1118</v>
      </c>
      <c r="D1212" s="1">
        <v>45884</v>
      </c>
      <c r="E1212" t="s">
        <v>2310</v>
      </c>
    </row>
    <row r="1213" spans="1:5" x14ac:dyDescent="0.35">
      <c r="A1213" s="1">
        <v>45946</v>
      </c>
      <c r="B1213" t="s">
        <v>1119</v>
      </c>
      <c r="D1213" s="1">
        <v>45887</v>
      </c>
      <c r="E1213" t="s">
        <v>2311</v>
      </c>
    </row>
    <row r="1214" spans="1:5" x14ac:dyDescent="0.35">
      <c r="A1214" s="1">
        <v>45947</v>
      </c>
      <c r="B1214" t="s">
        <v>1120</v>
      </c>
      <c r="D1214" s="1">
        <v>45888</v>
      </c>
      <c r="E1214" t="s">
        <v>2312</v>
      </c>
    </row>
    <row r="1215" spans="1:5" x14ac:dyDescent="0.35">
      <c r="A1215" s="1">
        <v>45950</v>
      </c>
      <c r="B1215" t="s">
        <v>1121</v>
      </c>
      <c r="D1215" s="1">
        <v>45889</v>
      </c>
      <c r="E1215" t="s">
        <v>2314</v>
      </c>
    </row>
    <row r="1216" spans="1:5" x14ac:dyDescent="0.35">
      <c r="A1216" s="1">
        <v>45951</v>
      </c>
      <c r="B1216" t="s">
        <v>1122</v>
      </c>
      <c r="D1216" s="1">
        <v>45890</v>
      </c>
      <c r="E1216" t="s">
        <v>2315</v>
      </c>
    </row>
    <row r="1217" spans="1:5" x14ac:dyDescent="0.35">
      <c r="A1217" s="1">
        <v>45952</v>
      </c>
      <c r="B1217" t="s">
        <v>1123</v>
      </c>
      <c r="D1217" s="1">
        <v>45891</v>
      </c>
      <c r="E1217" t="s">
        <v>2316</v>
      </c>
    </row>
    <row r="1218" spans="1:5" x14ac:dyDescent="0.35">
      <c r="A1218" s="1">
        <v>45953</v>
      </c>
      <c r="B1218" t="s">
        <v>1124</v>
      </c>
      <c r="D1218" s="1">
        <v>45894</v>
      </c>
      <c r="E1218" t="s">
        <v>2318</v>
      </c>
    </row>
    <row r="1219" spans="1:5" x14ac:dyDescent="0.35">
      <c r="A1219" s="1">
        <v>45954</v>
      </c>
      <c r="B1219" t="s">
        <v>1125</v>
      </c>
      <c r="D1219" s="1">
        <v>45895</v>
      </c>
      <c r="E1219" t="s">
        <v>2320</v>
      </c>
    </row>
    <row r="1220" spans="1:5" x14ac:dyDescent="0.35">
      <c r="A1220" s="1">
        <v>45957</v>
      </c>
      <c r="B1220" t="s">
        <v>1126</v>
      </c>
      <c r="D1220" s="1">
        <v>45896</v>
      </c>
      <c r="E1220" t="s">
        <v>2321</v>
      </c>
    </row>
    <row r="1221" spans="1:5" x14ac:dyDescent="0.35">
      <c r="A1221" s="1">
        <v>45958</v>
      </c>
      <c r="B1221" t="s">
        <v>1127</v>
      </c>
      <c r="D1221" s="1">
        <v>45897</v>
      </c>
      <c r="E1221" t="s">
        <v>2319</v>
      </c>
    </row>
    <row r="1222" spans="1:5" x14ac:dyDescent="0.35">
      <c r="A1222" s="1">
        <v>45959</v>
      </c>
      <c r="B1222" t="s">
        <v>1128</v>
      </c>
      <c r="D1222" s="1">
        <v>45898</v>
      </c>
      <c r="E1222" t="s">
        <v>2322</v>
      </c>
    </row>
    <row r="1223" spans="1:5" x14ac:dyDescent="0.35">
      <c r="A1223" s="1">
        <v>45960</v>
      </c>
      <c r="B1223" t="s">
        <v>1129</v>
      </c>
      <c r="D1223" s="1">
        <v>45901</v>
      </c>
      <c r="E1223" t="s">
        <v>2323</v>
      </c>
    </row>
    <row r="1224" spans="1:5" x14ac:dyDescent="0.35">
      <c r="A1224" s="1">
        <v>45961</v>
      </c>
      <c r="B1224" t="s">
        <v>1130</v>
      </c>
      <c r="D1224" s="1">
        <v>45902</v>
      </c>
      <c r="E1224" t="s">
        <v>2324</v>
      </c>
    </row>
    <row r="1225" spans="1:5" x14ac:dyDescent="0.35">
      <c r="A1225" s="1">
        <v>45964</v>
      </c>
      <c r="B1225" t="s">
        <v>1131</v>
      </c>
      <c r="D1225" s="1">
        <v>45903</v>
      </c>
      <c r="E1225" t="s">
        <v>2304</v>
      </c>
    </row>
    <row r="1226" spans="1:5" x14ac:dyDescent="0.35">
      <c r="A1226" s="1">
        <v>45965</v>
      </c>
      <c r="B1226" t="s">
        <v>1132</v>
      </c>
      <c r="D1226" s="1">
        <v>45904</v>
      </c>
      <c r="E1226" t="s">
        <v>2270</v>
      </c>
    </row>
    <row r="1227" spans="1:5" x14ac:dyDescent="0.35">
      <c r="A1227" s="1">
        <v>45966</v>
      </c>
      <c r="B1227" t="s">
        <v>1133</v>
      </c>
      <c r="D1227" s="1">
        <v>45905</v>
      </c>
      <c r="E1227" t="s">
        <v>2325</v>
      </c>
    </row>
    <row r="1228" spans="1:5" x14ac:dyDescent="0.35">
      <c r="A1228" s="1">
        <v>45967</v>
      </c>
      <c r="B1228" t="s">
        <v>1134</v>
      </c>
      <c r="D1228" s="1">
        <v>45908</v>
      </c>
      <c r="E1228" t="s">
        <v>2326</v>
      </c>
    </row>
    <row r="1229" spans="1:5" x14ac:dyDescent="0.35">
      <c r="A1229" s="1">
        <v>45968</v>
      </c>
      <c r="B1229" t="s">
        <v>1135</v>
      </c>
      <c r="D1229" s="1">
        <v>45909</v>
      </c>
      <c r="E1229" t="s">
        <v>2327</v>
      </c>
    </row>
    <row r="1230" spans="1:5" x14ac:dyDescent="0.35">
      <c r="A1230" s="1">
        <v>45971</v>
      </c>
      <c r="B1230" t="s">
        <v>1136</v>
      </c>
      <c r="D1230" s="1">
        <v>45910</v>
      </c>
      <c r="E1230" t="s">
        <v>2328</v>
      </c>
    </row>
    <row r="1231" spans="1:5" x14ac:dyDescent="0.35">
      <c r="A1231" s="1">
        <v>45972</v>
      </c>
      <c r="B1231" t="s">
        <v>1137</v>
      </c>
      <c r="D1231" s="1">
        <v>45911</v>
      </c>
      <c r="E1231" t="s">
        <v>2329</v>
      </c>
    </row>
    <row r="1232" spans="1:5" x14ac:dyDescent="0.35">
      <c r="A1232" s="1">
        <v>45973</v>
      </c>
      <c r="B1232" t="s">
        <v>1138</v>
      </c>
      <c r="D1232" s="1">
        <v>45912</v>
      </c>
      <c r="E1232" t="s">
        <v>2330</v>
      </c>
    </row>
    <row r="1233" spans="1:5" x14ac:dyDescent="0.35">
      <c r="A1233" s="1">
        <v>45974</v>
      </c>
      <c r="B1233" t="s">
        <v>1139</v>
      </c>
      <c r="D1233" s="1">
        <v>45915</v>
      </c>
      <c r="E1233" t="s">
        <v>2331</v>
      </c>
    </row>
    <row r="1234" spans="1:5" x14ac:dyDescent="0.35">
      <c r="A1234" s="1">
        <v>45975</v>
      </c>
      <c r="B1234" t="s">
        <v>1140</v>
      </c>
      <c r="D1234" s="1">
        <v>45916</v>
      </c>
      <c r="E1234" t="s">
        <v>2332</v>
      </c>
    </row>
    <row r="1235" spans="1:5" x14ac:dyDescent="0.35">
      <c r="A1235" s="1">
        <v>45978</v>
      </c>
      <c r="B1235" t="s">
        <v>1141</v>
      </c>
      <c r="D1235" s="1">
        <v>45917</v>
      </c>
      <c r="E1235" t="s">
        <v>2333</v>
      </c>
    </row>
    <row r="1236" spans="1:5" x14ac:dyDescent="0.35">
      <c r="A1236" s="1">
        <v>45979</v>
      </c>
      <c r="B1236" t="s">
        <v>1142</v>
      </c>
      <c r="D1236" s="1">
        <v>45918</v>
      </c>
      <c r="E1236" t="s">
        <v>2334</v>
      </c>
    </row>
    <row r="1237" spans="1:5" x14ac:dyDescent="0.35">
      <c r="A1237" s="1">
        <v>45980</v>
      </c>
      <c r="B1237" t="s">
        <v>1143</v>
      </c>
      <c r="D1237" s="1">
        <v>45919</v>
      </c>
      <c r="E1237" t="s">
        <v>2335</v>
      </c>
    </row>
    <row r="1238" spans="1:5" x14ac:dyDescent="0.35">
      <c r="A1238" s="1">
        <v>45981</v>
      </c>
      <c r="B1238" t="s">
        <v>1144</v>
      </c>
      <c r="D1238" s="1">
        <v>45922</v>
      </c>
      <c r="E1238" t="s">
        <v>2336</v>
      </c>
    </row>
    <row r="1239" spans="1:5" x14ac:dyDescent="0.35">
      <c r="A1239" s="1">
        <v>45982</v>
      </c>
      <c r="B1239" t="s">
        <v>1145</v>
      </c>
      <c r="D1239" s="1">
        <v>45923</v>
      </c>
      <c r="E1239" t="s">
        <v>2337</v>
      </c>
    </row>
    <row r="1240" spans="1:5" x14ac:dyDescent="0.35">
      <c r="A1240" s="1">
        <v>45985</v>
      </c>
      <c r="B1240" t="s">
        <v>1146</v>
      </c>
      <c r="D1240" s="1">
        <v>45924</v>
      </c>
      <c r="E1240" t="s">
        <v>2338</v>
      </c>
    </row>
    <row r="1241" spans="1:5" x14ac:dyDescent="0.35">
      <c r="A1241" s="1">
        <v>45986</v>
      </c>
      <c r="B1241" t="s">
        <v>1147</v>
      </c>
      <c r="D1241" s="1">
        <v>45925</v>
      </c>
      <c r="E1241" t="s">
        <v>2332</v>
      </c>
    </row>
    <row r="1242" spans="1:5" x14ac:dyDescent="0.35">
      <c r="A1242" s="1">
        <v>45987</v>
      </c>
      <c r="B1242" t="s">
        <v>1148</v>
      </c>
      <c r="D1242" s="1">
        <v>45926</v>
      </c>
      <c r="E1242" t="s">
        <v>2339</v>
      </c>
    </row>
    <row r="1243" spans="1:5" x14ac:dyDescent="0.35">
      <c r="A1243" s="1">
        <v>45989</v>
      </c>
      <c r="B1243" t="s">
        <v>1149</v>
      </c>
      <c r="D1243" s="1">
        <v>45929</v>
      </c>
      <c r="E1243" t="s">
        <v>2340</v>
      </c>
    </row>
    <row r="1244" spans="1:5" x14ac:dyDescent="0.35">
      <c r="A1244" s="1">
        <v>45992</v>
      </c>
      <c r="B1244" t="s">
        <v>1150</v>
      </c>
      <c r="D1244" s="1">
        <v>45930</v>
      </c>
      <c r="E1244" t="s">
        <v>2341</v>
      </c>
    </row>
    <row r="1245" spans="1:5" x14ac:dyDescent="0.35">
      <c r="A1245" s="1">
        <v>45993</v>
      </c>
      <c r="B1245" t="s">
        <v>1151</v>
      </c>
      <c r="D1245" s="1">
        <v>45931</v>
      </c>
      <c r="E1245" t="s">
        <v>2342</v>
      </c>
    </row>
    <row r="1246" spans="1:5" x14ac:dyDescent="0.35">
      <c r="A1246" s="1">
        <v>45994</v>
      </c>
      <c r="B1246" t="s">
        <v>1152</v>
      </c>
      <c r="D1246" s="1">
        <v>45932</v>
      </c>
      <c r="E1246" t="s">
        <v>2343</v>
      </c>
    </row>
    <row r="1247" spans="1:5" x14ac:dyDescent="0.35">
      <c r="A1247" s="1">
        <v>45995</v>
      </c>
      <c r="B1247" t="s">
        <v>1153</v>
      </c>
      <c r="D1247" s="1">
        <v>45933</v>
      </c>
      <c r="E1247" t="s">
        <v>2344</v>
      </c>
    </row>
    <row r="1248" spans="1:5" x14ac:dyDescent="0.35">
      <c r="A1248" s="1">
        <v>45996</v>
      </c>
      <c r="B1248" t="s">
        <v>1154</v>
      </c>
      <c r="D1248" s="1">
        <v>45936</v>
      </c>
      <c r="E1248" t="s">
        <v>2345</v>
      </c>
    </row>
    <row r="1249" spans="1:5" x14ac:dyDescent="0.35">
      <c r="A1249" s="1">
        <v>45999</v>
      </c>
      <c r="B1249" t="s">
        <v>1155</v>
      </c>
      <c r="D1249" s="1">
        <v>45937</v>
      </c>
      <c r="E1249" t="s">
        <v>2346</v>
      </c>
    </row>
    <row r="1250" spans="1:5" x14ac:dyDescent="0.35">
      <c r="A1250" s="1">
        <v>46000</v>
      </c>
      <c r="B1250" t="s">
        <v>1156</v>
      </c>
      <c r="D1250" s="1">
        <v>45938</v>
      </c>
      <c r="E1250" t="s">
        <v>2347</v>
      </c>
    </row>
    <row r="1251" spans="1:5" x14ac:dyDescent="0.35">
      <c r="A1251" s="1">
        <v>46001</v>
      </c>
      <c r="B1251" t="s">
        <v>1157</v>
      </c>
      <c r="D1251" s="1">
        <v>45939</v>
      </c>
      <c r="E1251" t="s">
        <v>2319</v>
      </c>
    </row>
    <row r="1252" spans="1:5" x14ac:dyDescent="0.35">
      <c r="A1252" s="1">
        <v>46002</v>
      </c>
      <c r="B1252" t="s">
        <v>1158</v>
      </c>
      <c r="D1252" s="1">
        <v>45940</v>
      </c>
      <c r="E1252" t="s">
        <v>2320</v>
      </c>
    </row>
    <row r="1253" spans="1:5" x14ac:dyDescent="0.35">
      <c r="A1253" s="1">
        <v>46003</v>
      </c>
      <c r="B1253" t="s">
        <v>1159</v>
      </c>
      <c r="D1253" s="1">
        <v>45943</v>
      </c>
      <c r="E1253" t="s">
        <v>2348</v>
      </c>
    </row>
    <row r="1254" spans="1:5" x14ac:dyDescent="0.35">
      <c r="A1254" s="1">
        <v>46006</v>
      </c>
      <c r="B1254" t="s">
        <v>1160</v>
      </c>
      <c r="D1254" s="1">
        <v>45944</v>
      </c>
      <c r="E1254" t="s">
        <v>2349</v>
      </c>
    </row>
    <row r="1255" spans="1:5" x14ac:dyDescent="0.35">
      <c r="A1255" s="1">
        <v>46007</v>
      </c>
      <c r="B1255" t="s">
        <v>1161</v>
      </c>
      <c r="D1255" s="1">
        <v>45945</v>
      </c>
      <c r="E1255" t="s">
        <v>2350</v>
      </c>
    </row>
    <row r="1256" spans="1:5" x14ac:dyDescent="0.35">
      <c r="A1256" s="1">
        <v>46008</v>
      </c>
      <c r="B1256" t="s">
        <v>1162</v>
      </c>
      <c r="D1256" s="1">
        <v>45946</v>
      </c>
      <c r="E1256" t="s">
        <v>2351</v>
      </c>
    </row>
    <row r="1257" spans="1:5" x14ac:dyDescent="0.35">
      <c r="A1257" s="1">
        <v>46009</v>
      </c>
      <c r="B1257" t="s">
        <v>1163</v>
      </c>
      <c r="D1257" s="1">
        <v>45947</v>
      </c>
      <c r="E1257" t="s">
        <v>2352</v>
      </c>
    </row>
    <row r="1258" spans="1:5" x14ac:dyDescent="0.35">
      <c r="A1258" s="1">
        <v>46010</v>
      </c>
      <c r="B1258" t="s">
        <v>1164</v>
      </c>
      <c r="D1258" s="1">
        <v>45950</v>
      </c>
      <c r="E1258" t="s">
        <v>2353</v>
      </c>
    </row>
    <row r="1259" spans="1:5" x14ac:dyDescent="0.35">
      <c r="A1259" s="1">
        <v>46013</v>
      </c>
      <c r="B1259" t="s">
        <v>1165</v>
      </c>
      <c r="D1259" s="1">
        <v>45951</v>
      </c>
      <c r="E1259" t="s">
        <v>2355</v>
      </c>
    </row>
    <row r="1260" spans="1:5" x14ac:dyDescent="0.35">
      <c r="D1260" s="1">
        <v>45952</v>
      </c>
      <c r="E1260" t="s">
        <v>2331</v>
      </c>
    </row>
    <row r="1261" spans="1:5" x14ac:dyDescent="0.35">
      <c r="D1261" s="1">
        <v>45953</v>
      </c>
      <c r="E1261" t="s">
        <v>2356</v>
      </c>
    </row>
    <row r="1262" spans="1:5" x14ac:dyDescent="0.35">
      <c r="D1262" s="1">
        <v>45954</v>
      </c>
      <c r="E1262" t="s">
        <v>2357</v>
      </c>
    </row>
    <row r="1263" spans="1:5" x14ac:dyDescent="0.35">
      <c r="D1263" s="1">
        <v>45957</v>
      </c>
      <c r="E1263" t="s">
        <v>2358</v>
      </c>
    </row>
    <row r="1264" spans="1:5" x14ac:dyDescent="0.35">
      <c r="D1264" s="1">
        <v>45958</v>
      </c>
      <c r="E1264" t="s">
        <v>2359</v>
      </c>
    </row>
    <row r="1265" spans="4:5" x14ac:dyDescent="0.35">
      <c r="D1265" s="1">
        <v>45959</v>
      </c>
      <c r="E1265" t="s">
        <v>2360</v>
      </c>
    </row>
    <row r="1266" spans="4:5" x14ac:dyDescent="0.35">
      <c r="D1266" s="1">
        <v>45960</v>
      </c>
      <c r="E1266" t="s">
        <v>2361</v>
      </c>
    </row>
    <row r="1267" spans="4:5" x14ac:dyDescent="0.35">
      <c r="D1267" s="1">
        <v>45961</v>
      </c>
      <c r="E1267" t="s">
        <v>2322</v>
      </c>
    </row>
    <row r="1268" spans="4:5" x14ac:dyDescent="0.35">
      <c r="D1268" s="1">
        <v>45964</v>
      </c>
      <c r="E1268" t="s">
        <v>2363</v>
      </c>
    </row>
    <row r="1269" spans="4:5" x14ac:dyDescent="0.35">
      <c r="D1269" s="1">
        <v>45965</v>
      </c>
      <c r="E1269" t="s">
        <v>2364</v>
      </c>
    </row>
    <row r="1270" spans="4:5" x14ac:dyDescent="0.35">
      <c r="D1270" s="1">
        <v>45966</v>
      </c>
      <c r="E1270" t="s">
        <v>2365</v>
      </c>
    </row>
    <row r="1271" spans="4:5" x14ac:dyDescent="0.35">
      <c r="D1271" s="1">
        <v>45967</v>
      </c>
      <c r="E1271" t="s">
        <v>2366</v>
      </c>
    </row>
    <row r="1272" spans="4:5" x14ac:dyDescent="0.35">
      <c r="D1272" s="1">
        <v>45968</v>
      </c>
      <c r="E1272" t="s">
        <v>2367</v>
      </c>
    </row>
    <row r="1273" spans="4:5" x14ac:dyDescent="0.35">
      <c r="D1273" s="1">
        <v>45971</v>
      </c>
      <c r="E1273" t="s">
        <v>2302</v>
      </c>
    </row>
    <row r="1274" spans="4:5" x14ac:dyDescent="0.35">
      <c r="D1274" s="1">
        <v>45972</v>
      </c>
      <c r="E1274" t="s">
        <v>2368</v>
      </c>
    </row>
    <row r="1275" spans="4:5" x14ac:dyDescent="0.35">
      <c r="D1275" s="1">
        <v>45973</v>
      </c>
      <c r="E1275" t="s">
        <v>2317</v>
      </c>
    </row>
    <row r="1276" spans="4:5" x14ac:dyDescent="0.35">
      <c r="D1276" s="1">
        <v>45974</v>
      </c>
      <c r="E1276" t="s">
        <v>2369</v>
      </c>
    </row>
    <row r="1277" spans="4:5" x14ac:dyDescent="0.35">
      <c r="D1277" s="1">
        <v>45975</v>
      </c>
      <c r="E1277" t="s">
        <v>2370</v>
      </c>
    </row>
    <row r="1278" spans="4:5" x14ac:dyDescent="0.35">
      <c r="D1278" s="1">
        <v>45978</v>
      </c>
      <c r="E1278" t="s">
        <v>2354</v>
      </c>
    </row>
    <row r="1279" spans="4:5" x14ac:dyDescent="0.35">
      <c r="D1279" s="1">
        <v>45979</v>
      </c>
      <c r="E1279" t="s">
        <v>2371</v>
      </c>
    </row>
    <row r="1280" spans="4:5" x14ac:dyDescent="0.35">
      <c r="D1280" s="1">
        <v>45980</v>
      </c>
      <c r="E1280" t="s">
        <v>2372</v>
      </c>
    </row>
    <row r="1281" spans="4:5" x14ac:dyDescent="0.35">
      <c r="D1281" s="1">
        <v>45981</v>
      </c>
      <c r="E1281" t="s">
        <v>2373</v>
      </c>
    </row>
    <row r="1282" spans="4:5" x14ac:dyDescent="0.35">
      <c r="D1282" s="1">
        <v>45982</v>
      </c>
      <c r="E1282" t="s">
        <v>2374</v>
      </c>
    </row>
    <row r="1283" spans="4:5" x14ac:dyDescent="0.35">
      <c r="D1283" s="1">
        <v>45985</v>
      </c>
      <c r="E1283" t="s">
        <v>2316</v>
      </c>
    </row>
    <row r="1284" spans="4:5" x14ac:dyDescent="0.35">
      <c r="D1284" s="1">
        <v>45986</v>
      </c>
      <c r="E1284" t="s">
        <v>2375</v>
      </c>
    </row>
    <row r="1285" spans="4:5" x14ac:dyDescent="0.35">
      <c r="D1285" s="1">
        <v>45987</v>
      </c>
      <c r="E1285" t="s">
        <v>2376</v>
      </c>
    </row>
    <row r="1286" spans="4:5" x14ac:dyDescent="0.35">
      <c r="D1286" s="1">
        <v>45988</v>
      </c>
      <c r="E1286" t="s">
        <v>2377</v>
      </c>
    </row>
    <row r="1287" spans="4:5" x14ac:dyDescent="0.35">
      <c r="D1287" s="1">
        <v>45989</v>
      </c>
      <c r="E1287" t="s">
        <v>2313</v>
      </c>
    </row>
    <row r="1288" spans="4:5" x14ac:dyDescent="0.35">
      <c r="D1288" s="1">
        <v>45992</v>
      </c>
      <c r="E1288" t="s">
        <v>2378</v>
      </c>
    </row>
    <row r="1289" spans="4:5" x14ac:dyDescent="0.35">
      <c r="D1289" s="1">
        <v>45993</v>
      </c>
      <c r="E1289" t="s">
        <v>2313</v>
      </c>
    </row>
    <row r="1290" spans="4:5" x14ac:dyDescent="0.35">
      <c r="D1290" s="1">
        <v>45994</v>
      </c>
      <c r="E1290" t="s">
        <v>2379</v>
      </c>
    </row>
    <row r="1291" spans="4:5" x14ac:dyDescent="0.35">
      <c r="D1291" s="1">
        <v>45995</v>
      </c>
      <c r="E1291" t="s">
        <v>2380</v>
      </c>
    </row>
    <row r="1292" spans="4:5" x14ac:dyDescent="0.35">
      <c r="D1292" s="1">
        <v>45996</v>
      </c>
      <c r="E1292" t="s">
        <v>2381</v>
      </c>
    </row>
    <row r="1293" spans="4:5" x14ac:dyDescent="0.35">
      <c r="D1293" s="1">
        <v>45999</v>
      </c>
      <c r="E1293" t="s">
        <v>2362</v>
      </c>
    </row>
    <row r="1294" spans="4:5" x14ac:dyDescent="0.35">
      <c r="D1294" s="1">
        <v>46000</v>
      </c>
      <c r="E1294" t="s">
        <v>2382</v>
      </c>
    </row>
    <row r="1295" spans="4:5" x14ac:dyDescent="0.35">
      <c r="D1295" s="1">
        <v>46001</v>
      </c>
      <c r="E1295" t="s">
        <v>2367</v>
      </c>
    </row>
    <row r="1296" spans="4:5" x14ac:dyDescent="0.35">
      <c r="D1296" s="1">
        <v>46002</v>
      </c>
      <c r="E1296" t="s">
        <v>2383</v>
      </c>
    </row>
    <row r="1297" spans="4:5" x14ac:dyDescent="0.35">
      <c r="D1297" s="1">
        <v>46003</v>
      </c>
      <c r="E1297" t="s">
        <v>2384</v>
      </c>
    </row>
    <row r="1298" spans="4:5" x14ac:dyDescent="0.35">
      <c r="D1298" s="1">
        <v>46006</v>
      </c>
      <c r="E1298" t="s">
        <v>2385</v>
      </c>
    </row>
    <row r="1299" spans="4:5" x14ac:dyDescent="0.35">
      <c r="D1299" s="1">
        <v>46007</v>
      </c>
      <c r="E1299" t="s">
        <v>2274</v>
      </c>
    </row>
    <row r="1300" spans="4:5" x14ac:dyDescent="0.35">
      <c r="D1300" s="1">
        <v>46008</v>
      </c>
      <c r="E1300" t="s">
        <v>2286</v>
      </c>
    </row>
    <row r="1301" spans="4:5" x14ac:dyDescent="0.35">
      <c r="D1301" s="1">
        <v>46009</v>
      </c>
      <c r="E1301" t="s">
        <v>2286</v>
      </c>
    </row>
    <row r="1302" spans="4:5" x14ac:dyDescent="0.35">
      <c r="D1302" s="1">
        <v>46010</v>
      </c>
      <c r="E1302" t="s">
        <v>2386</v>
      </c>
    </row>
    <row r="1303" spans="4:5" x14ac:dyDescent="0.35">
      <c r="D1303" s="1">
        <v>46013</v>
      </c>
      <c r="E1303" t="s">
        <v>2387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66C60-117D-4EC5-9CA4-6C5973A31B12}">
  <sheetPr codeName="Sheet7"/>
  <dimension ref="A1:E1258"/>
  <sheetViews>
    <sheetView workbookViewId="0">
      <selection activeCell="I9" sqref="I9"/>
    </sheetView>
  </sheetViews>
  <sheetFormatPr defaultRowHeight="14.5" x14ac:dyDescent="0.35"/>
  <cols>
    <col min="1" max="1" width="13.6328125" customWidth="1"/>
    <col min="2" max="2" width="10.90625" customWidth="1"/>
    <col min="3" max="3" width="15.6328125" customWidth="1"/>
  </cols>
  <sheetData>
    <row r="1" spans="1:5" x14ac:dyDescent="0.35">
      <c r="A1" s="23" t="s">
        <v>0</v>
      </c>
      <c r="B1" s="23" t="s">
        <v>2392</v>
      </c>
      <c r="C1" s="23" t="s">
        <v>2393</v>
      </c>
      <c r="D1" s="23" t="s">
        <v>2394</v>
      </c>
      <c r="E1" s="23" t="s">
        <v>2395</v>
      </c>
    </row>
    <row r="2" spans="1:5" x14ac:dyDescent="0.35">
      <c r="A2" s="1">
        <v>44187</v>
      </c>
      <c r="B2">
        <v>1866.5999755859375</v>
      </c>
      <c r="C2">
        <v>1.1293310013288334</v>
      </c>
    </row>
    <row r="3" spans="1:5" x14ac:dyDescent="0.35">
      <c r="A3" s="1">
        <v>44188</v>
      </c>
      <c r="B3">
        <v>1874.699951171875</v>
      </c>
      <c r="C3">
        <v>1.1263036963593609</v>
      </c>
      <c r="D3" s="2">
        <v>4.3300395050943456E-3</v>
      </c>
      <c r="E3" s="2">
        <v>-2.6842172539949766E-3</v>
      </c>
    </row>
    <row r="4" spans="1:5" x14ac:dyDescent="0.35">
      <c r="A4" s="1">
        <v>44189</v>
      </c>
      <c r="B4">
        <v>1879.9000244140625</v>
      </c>
      <c r="C4">
        <v>1.1262529629463047</v>
      </c>
      <c r="D4" s="2">
        <v>2.7699763494986331E-3</v>
      </c>
      <c r="E4" s="2">
        <v>-4.504518264179405E-5</v>
      </c>
    </row>
    <row r="5" spans="1:5" x14ac:dyDescent="0.35">
      <c r="A5" s="1">
        <v>44190</v>
      </c>
      <c r="B5">
        <v>1877.199951171875</v>
      </c>
      <c r="C5">
        <v>1.1224604133239828</v>
      </c>
      <c r="D5" s="2">
        <v>-1.4373179976945852E-3</v>
      </c>
      <c r="E5" s="2">
        <v>-3.3730872580047372E-3</v>
      </c>
    </row>
    <row r="6" spans="1:5" x14ac:dyDescent="0.35">
      <c r="A6" s="1">
        <v>44194</v>
      </c>
      <c r="B6">
        <v>1879.699951171875</v>
      </c>
      <c r="C6">
        <v>1.125745804542259</v>
      </c>
      <c r="D6" s="2">
        <v>1.3308847368819284E-3</v>
      </c>
      <c r="E6" s="2">
        <v>2.9226798954953507E-3</v>
      </c>
    </row>
    <row r="7" spans="1:5" x14ac:dyDescent="0.35">
      <c r="A7" s="1">
        <v>44195</v>
      </c>
      <c r="B7">
        <v>1891</v>
      </c>
      <c r="C7">
        <v>1.1310937421731404</v>
      </c>
      <c r="D7" s="2">
        <v>5.9936260124601824E-3</v>
      </c>
      <c r="E7" s="2">
        <v>4.7393246442810977E-3</v>
      </c>
    </row>
    <row r="8" spans="1:5" x14ac:dyDescent="0.35">
      <c r="A8" s="1">
        <v>44196</v>
      </c>
      <c r="B8">
        <v>1893.0999755859375</v>
      </c>
      <c r="C8">
        <v>1.1343270100222724</v>
      </c>
      <c r="D8" s="2">
        <v>1.1098944610659881E-3</v>
      </c>
      <c r="E8" s="2">
        <v>2.8544543360105169E-3</v>
      </c>
    </row>
    <row r="9" spans="1:5" x14ac:dyDescent="0.35">
      <c r="A9" s="1">
        <v>44200</v>
      </c>
      <c r="B9">
        <v>1944.699951171875</v>
      </c>
      <c r="C9">
        <v>1.1323746238768615</v>
      </c>
      <c r="D9" s="2">
        <v>2.6892014283005597E-2</v>
      </c>
      <c r="E9" s="2">
        <v>-1.7226675086255815E-3</v>
      </c>
    </row>
    <row r="10" spans="1:5" x14ac:dyDescent="0.35">
      <c r="A10" s="1">
        <v>44201</v>
      </c>
      <c r="B10">
        <v>1952.699951171875</v>
      </c>
      <c r="C10">
        <v>1.134764636597944</v>
      </c>
      <c r="D10" s="2">
        <v>4.1053068384807835E-3</v>
      </c>
      <c r="E10" s="2">
        <v>2.1083959403084629E-3</v>
      </c>
    </row>
    <row r="11" spans="1:5" x14ac:dyDescent="0.35">
      <c r="A11" s="1">
        <v>44202</v>
      </c>
      <c r="B11">
        <v>1906.9000244140625</v>
      </c>
      <c r="C11">
        <v>1.1387186786825267</v>
      </c>
      <c r="D11" s="2">
        <v>-2.3734105597417361E-2</v>
      </c>
      <c r="E11" s="2">
        <v>3.4784034215379019E-3</v>
      </c>
    </row>
    <row r="12" spans="1:5" x14ac:dyDescent="0.35">
      <c r="A12" s="1">
        <v>44203</v>
      </c>
      <c r="B12">
        <v>1912.300048828125</v>
      </c>
      <c r="C12">
        <v>1.1388613705124437</v>
      </c>
      <c r="D12" s="2">
        <v>2.8278319590516131E-3</v>
      </c>
      <c r="E12" s="2">
        <v>1.2530126451904057E-4</v>
      </c>
    </row>
    <row r="13" spans="1:5" x14ac:dyDescent="0.35">
      <c r="A13" s="1">
        <v>44204</v>
      </c>
      <c r="B13">
        <v>1834.0999755859375</v>
      </c>
      <c r="C13">
        <v>1.1297519998346168</v>
      </c>
      <c r="D13" s="2">
        <v>-4.1752846956852267E-2</v>
      </c>
      <c r="E13" s="2">
        <v>-8.0308260149412058E-3</v>
      </c>
    </row>
    <row r="14" spans="1:5" x14ac:dyDescent="0.35">
      <c r="A14" s="1">
        <v>44207</v>
      </c>
      <c r="B14">
        <v>1849.5999755859375</v>
      </c>
      <c r="C14">
        <v>1.1265828496773598</v>
      </c>
      <c r="D14" s="2">
        <v>8.4155016326218669E-3</v>
      </c>
      <c r="E14" s="2">
        <v>-2.8091151824884159E-3</v>
      </c>
    </row>
    <row r="15" spans="1:5" x14ac:dyDescent="0.35">
      <c r="A15" s="1">
        <v>44208</v>
      </c>
      <c r="B15">
        <v>1842.9000244140625</v>
      </c>
      <c r="C15">
        <v>1.124075440256096</v>
      </c>
      <c r="D15" s="2">
        <v>-3.6289551927896312E-3</v>
      </c>
      <c r="E15" s="2">
        <v>-2.228157397196721E-3</v>
      </c>
    </row>
    <row r="16" spans="1:5" x14ac:dyDescent="0.35">
      <c r="A16" s="1">
        <v>44209</v>
      </c>
      <c r="B16">
        <v>1853.5999755859375</v>
      </c>
      <c r="C16">
        <v>1.1287955488740582</v>
      </c>
      <c r="D16" s="2">
        <v>5.7892498613820609E-3</v>
      </c>
      <c r="E16" s="2">
        <v>4.1903114269029491E-3</v>
      </c>
    </row>
    <row r="17" spans="1:5" x14ac:dyDescent="0.35">
      <c r="A17" s="1">
        <v>44210</v>
      </c>
      <c r="B17">
        <v>1850.300048828125</v>
      </c>
      <c r="C17">
        <v>1.1275228225168052</v>
      </c>
      <c r="D17" s="2">
        <v>-1.7818664700342871E-3</v>
      </c>
      <c r="E17" s="2">
        <v>-1.1281444217933535E-3</v>
      </c>
    </row>
    <row r="18" spans="1:5" x14ac:dyDescent="0.35">
      <c r="A18" s="1">
        <v>44211</v>
      </c>
      <c r="B18">
        <v>1829.300048828125</v>
      </c>
      <c r="C18">
        <v>1.1258091838058959</v>
      </c>
      <c r="D18" s="2">
        <v>-1.1414407787474065E-2</v>
      </c>
      <c r="E18" s="2">
        <v>-1.5209822932973017E-3</v>
      </c>
    </row>
    <row r="19" spans="1:5" x14ac:dyDescent="0.35">
      <c r="A19" s="1">
        <v>44215</v>
      </c>
      <c r="B19">
        <v>1839.5</v>
      </c>
      <c r="C19">
        <v>1.1224604133239828</v>
      </c>
      <c r="D19" s="2">
        <v>5.5603888553312541E-3</v>
      </c>
      <c r="E19" s="2">
        <v>-2.9789781107125101E-3</v>
      </c>
    </row>
    <row r="20" spans="1:5" x14ac:dyDescent="0.35">
      <c r="A20" s="1">
        <v>44216</v>
      </c>
      <c r="B20">
        <v>1865.9000244140625</v>
      </c>
      <c r="C20">
        <v>1.1261261116131862</v>
      </c>
      <c r="D20" s="2">
        <v>1.4249727942710165E-2</v>
      </c>
      <c r="E20" s="2">
        <v>3.2604496166012248E-3</v>
      </c>
    </row>
    <row r="21" spans="1:5" x14ac:dyDescent="0.35">
      <c r="A21" s="1">
        <v>44217</v>
      </c>
      <c r="B21">
        <v>1865.300048828125</v>
      </c>
      <c r="C21">
        <v>1.1245051909083883</v>
      </c>
      <c r="D21" s="2">
        <v>-3.2159925993311322E-4</v>
      </c>
      <c r="E21" s="2">
        <v>-1.4404145034668172E-3</v>
      </c>
    </row>
    <row r="22" spans="1:5" x14ac:dyDescent="0.35">
      <c r="A22" s="1">
        <v>44218</v>
      </c>
      <c r="B22">
        <v>1855.699951171875</v>
      </c>
      <c r="C22">
        <v>1.129484048473274</v>
      </c>
      <c r="D22" s="2">
        <v>-5.1599671898233754E-3</v>
      </c>
      <c r="E22" s="2">
        <v>4.4178255828955211E-3</v>
      </c>
    </row>
    <row r="23" spans="1:5" x14ac:dyDescent="0.35">
      <c r="A23" s="1">
        <v>44221</v>
      </c>
      <c r="B23">
        <v>1854.9000244140625</v>
      </c>
      <c r="C23">
        <v>1.1295312710917573</v>
      </c>
      <c r="D23" s="2">
        <v>-4.3115764322087933E-4</v>
      </c>
      <c r="E23" s="2">
        <v>4.18081436466814E-5</v>
      </c>
    </row>
    <row r="24" spans="1:5" x14ac:dyDescent="0.35">
      <c r="A24" s="1">
        <v>44222</v>
      </c>
      <c r="B24">
        <v>1850.699951171875</v>
      </c>
      <c r="C24">
        <v>1.1261007901263638</v>
      </c>
      <c r="D24" s="2">
        <v>-2.266879894457694E-3</v>
      </c>
      <c r="E24" s="2">
        <v>-3.0417049564658107E-3</v>
      </c>
    </row>
    <row r="25" spans="1:5" x14ac:dyDescent="0.35">
      <c r="A25" s="1">
        <v>44223</v>
      </c>
      <c r="B25">
        <v>1844.9000244140625</v>
      </c>
      <c r="C25">
        <v>1.1277771836209631</v>
      </c>
      <c r="D25" s="2">
        <v>-3.1388308031131281E-3</v>
      </c>
      <c r="E25" s="2">
        <v>1.4875639437972651E-3</v>
      </c>
    </row>
    <row r="26" spans="1:5" x14ac:dyDescent="0.35">
      <c r="A26" s="1">
        <v>44224</v>
      </c>
      <c r="B26">
        <v>1837.9000244140625</v>
      </c>
      <c r="C26">
        <v>1.1249859604873969</v>
      </c>
      <c r="D26" s="2">
        <v>-3.8014599418898284E-3</v>
      </c>
      <c r="E26" s="2">
        <v>-2.4780453011286159E-3</v>
      </c>
    </row>
    <row r="27" spans="1:5" x14ac:dyDescent="0.35">
      <c r="A27" s="1">
        <v>44225</v>
      </c>
      <c r="B27">
        <v>1847.300048828125</v>
      </c>
      <c r="C27">
        <v>1.1253543559547194</v>
      </c>
      <c r="D27" s="2">
        <v>5.1015112416478462E-3</v>
      </c>
      <c r="E27" s="2">
        <v>3.2741311873759623E-4</v>
      </c>
    </row>
    <row r="28" spans="1:5" x14ac:dyDescent="0.35">
      <c r="A28" s="1">
        <v>44228</v>
      </c>
      <c r="B28">
        <v>1860.800048828125</v>
      </c>
      <c r="C28">
        <v>1.1218811893833704</v>
      </c>
      <c r="D28" s="2">
        <v>7.2813890080445729E-3</v>
      </c>
      <c r="E28" s="2">
        <v>-3.0910594520995966E-3</v>
      </c>
    </row>
    <row r="29" spans="1:5" x14ac:dyDescent="0.35">
      <c r="A29" s="1">
        <v>44229</v>
      </c>
      <c r="B29">
        <v>1830.5</v>
      </c>
      <c r="C29">
        <v>1.1154738236031541</v>
      </c>
      <c r="D29" s="2">
        <v>-1.6417375444502631E-2</v>
      </c>
      <c r="E29" s="2">
        <v>-5.7276411294747611E-3</v>
      </c>
    </row>
    <row r="30" spans="1:5" x14ac:dyDescent="0.35">
      <c r="A30" s="1">
        <v>44230</v>
      </c>
      <c r="B30">
        <v>1832.199951171875</v>
      </c>
      <c r="C30">
        <v>1.114206154772446</v>
      </c>
      <c r="D30" s="2">
        <v>9.2825037081982324E-4</v>
      </c>
      <c r="E30" s="2">
        <v>-1.1370860209447178E-3</v>
      </c>
    </row>
    <row r="31" spans="1:5" x14ac:dyDescent="0.35">
      <c r="A31" s="1">
        <v>44231</v>
      </c>
      <c r="B31">
        <v>1788.9000244140625</v>
      </c>
      <c r="C31">
        <v>1.1131642971397149</v>
      </c>
      <c r="D31" s="2">
        <v>-2.3916484486413037E-2</v>
      </c>
      <c r="E31" s="2">
        <v>-9.3550465107428388E-4</v>
      </c>
    </row>
    <row r="32" spans="1:5" x14ac:dyDescent="0.35">
      <c r="A32" s="1">
        <v>44232</v>
      </c>
      <c r="B32">
        <v>1810.9000244140625</v>
      </c>
      <c r="C32">
        <v>1.1061579508867445</v>
      </c>
      <c r="D32" s="2">
        <v>1.2223053284327792E-2</v>
      </c>
      <c r="E32" s="2">
        <v>-6.3139722368651474E-3</v>
      </c>
    </row>
    <row r="33" spans="1:5" x14ac:dyDescent="0.35">
      <c r="A33" s="1">
        <v>44235</v>
      </c>
      <c r="B33">
        <v>1831.9000244140625</v>
      </c>
      <c r="C33">
        <v>1.1123717725754461</v>
      </c>
      <c r="D33" s="2">
        <v>1.1529720189568878E-2</v>
      </c>
      <c r="E33" s="2">
        <v>5.601762168869857E-3</v>
      </c>
    </row>
    <row r="34" spans="1:5" x14ac:dyDescent="0.35">
      <c r="A34" s="1">
        <v>44236</v>
      </c>
      <c r="B34">
        <v>1835.300048828125</v>
      </c>
      <c r="C34">
        <v>1.1128434019921742</v>
      </c>
      <c r="D34" s="2">
        <v>1.8542895508146806E-3</v>
      </c>
      <c r="E34" s="2">
        <v>4.2389556675745112E-4</v>
      </c>
    </row>
    <row r="35" spans="1:5" x14ac:dyDescent="0.35">
      <c r="A35" s="1">
        <v>44237</v>
      </c>
      <c r="B35">
        <v>1840.5999755859375</v>
      </c>
      <c r="C35">
        <v>1.1205737007002676</v>
      </c>
      <c r="D35" s="2">
        <v>2.8836096711605716E-3</v>
      </c>
      <c r="E35" s="2">
        <v>6.9224235530170033E-3</v>
      </c>
    </row>
    <row r="36" spans="1:5" x14ac:dyDescent="0.35">
      <c r="A36" s="1">
        <v>44238</v>
      </c>
      <c r="B36">
        <v>1824.9000244140625</v>
      </c>
      <c r="C36">
        <v>1.1232850573141171</v>
      </c>
      <c r="D36" s="2">
        <v>-8.5663877674986583E-3</v>
      </c>
      <c r="E36" s="2">
        <v>2.4166921592392375E-3</v>
      </c>
    </row>
    <row r="37" spans="1:5" x14ac:dyDescent="0.35">
      <c r="A37" s="1">
        <v>44239</v>
      </c>
      <c r="B37">
        <v>1821.5999755859375</v>
      </c>
      <c r="C37">
        <v>1.1234439928494786</v>
      </c>
      <c r="D37" s="2">
        <v>-1.8099820260786762E-3</v>
      </c>
      <c r="E37" s="2">
        <v>1.414817114817934E-4</v>
      </c>
    </row>
    <row r="38" spans="1:5" x14ac:dyDescent="0.35">
      <c r="A38" s="1">
        <v>44243</v>
      </c>
      <c r="B38">
        <v>1797.199951171875</v>
      </c>
      <c r="C38">
        <v>1.1238051309346406</v>
      </c>
      <c r="D38" s="2">
        <v>-1.348535131998669E-2</v>
      </c>
      <c r="E38" s="2">
        <v>3.2140458701155521E-4</v>
      </c>
    </row>
    <row r="39" spans="1:5" x14ac:dyDescent="0.35">
      <c r="A39" s="1">
        <v>44244</v>
      </c>
      <c r="B39">
        <v>1771.0999755859375</v>
      </c>
      <c r="C39">
        <v>1.1195475476605681</v>
      </c>
      <c r="D39" s="2">
        <v>-1.4629062349107949E-2</v>
      </c>
      <c r="E39" s="2">
        <v>-3.7957370024767219E-3</v>
      </c>
    </row>
    <row r="40" spans="1:5" x14ac:dyDescent="0.35">
      <c r="A40" s="1">
        <v>44245</v>
      </c>
      <c r="B40">
        <v>1773.4000244140625</v>
      </c>
      <c r="C40">
        <v>1.1130527824501759</v>
      </c>
      <c r="D40" s="2">
        <v>1.2978130348198413E-3</v>
      </c>
      <c r="E40" s="2">
        <v>-5.8181336299250302E-3</v>
      </c>
    </row>
    <row r="41" spans="1:5" x14ac:dyDescent="0.35">
      <c r="A41" s="1">
        <v>44246</v>
      </c>
      <c r="B41">
        <v>1775.800048828125</v>
      </c>
      <c r="C41">
        <v>1.1163081356703133</v>
      </c>
      <c r="D41" s="2">
        <v>1.3524313819186311E-3</v>
      </c>
      <c r="E41" s="2">
        <v>2.9204383259871696E-3</v>
      </c>
    </row>
    <row r="42" spans="1:5" x14ac:dyDescent="0.35">
      <c r="A42" s="1">
        <v>44249</v>
      </c>
      <c r="B42">
        <v>1806.699951171875</v>
      </c>
      <c r="C42">
        <v>1.1152126015739736</v>
      </c>
      <c r="D42" s="2">
        <v>1.7250896659106188E-2</v>
      </c>
      <c r="E42" s="2">
        <v>-9.8187228652610661E-4</v>
      </c>
    </row>
    <row r="43" spans="1:5" x14ac:dyDescent="0.35">
      <c r="A43" s="1">
        <v>44250</v>
      </c>
      <c r="B43">
        <v>1804.4000244140625</v>
      </c>
      <c r="C43">
        <v>1.116457673210252</v>
      </c>
      <c r="D43" s="2">
        <v>-1.2738096892075683E-3</v>
      </c>
      <c r="E43" s="2">
        <v>1.1158205399144187E-3</v>
      </c>
    </row>
    <row r="44" spans="1:5" x14ac:dyDescent="0.35">
      <c r="A44" s="1">
        <v>44251</v>
      </c>
      <c r="B44">
        <v>1796.4000244140625</v>
      </c>
      <c r="C44">
        <v>1.1048503074535507</v>
      </c>
      <c r="D44" s="2">
        <v>-4.4434642604026936E-3</v>
      </c>
      <c r="E44" s="2">
        <v>-1.0451023908163694E-2</v>
      </c>
    </row>
    <row r="45" spans="1:5" x14ac:dyDescent="0.35">
      <c r="A45" s="1">
        <v>44252</v>
      </c>
      <c r="B45">
        <v>1774.4000244140625</v>
      </c>
      <c r="C45">
        <v>1.1030222829065501</v>
      </c>
      <c r="D45" s="2">
        <v>-1.2322324448977169E-2</v>
      </c>
      <c r="E45" s="2">
        <v>-1.6559152667541574E-3</v>
      </c>
    </row>
    <row r="46" spans="1:5" x14ac:dyDescent="0.35">
      <c r="A46" s="1">
        <v>44253</v>
      </c>
      <c r="B46">
        <v>1728.0999755859375</v>
      </c>
      <c r="C46">
        <v>1.1042769001371229</v>
      </c>
      <c r="D46" s="2">
        <v>-2.6439826422899711E-2</v>
      </c>
      <c r="E46" s="2">
        <v>1.1367895891244944E-3</v>
      </c>
    </row>
    <row r="47" spans="1:5" x14ac:dyDescent="0.35">
      <c r="A47" s="1">
        <v>44256</v>
      </c>
      <c r="B47">
        <v>1722.5</v>
      </c>
      <c r="C47">
        <v>1.1020497980575743</v>
      </c>
      <c r="D47" s="2">
        <v>-3.2458010444414774E-3</v>
      </c>
      <c r="E47" s="2">
        <v>-2.0188332378746369E-3</v>
      </c>
    </row>
    <row r="48" spans="1:5" x14ac:dyDescent="0.35">
      <c r="A48" s="1">
        <v>44257</v>
      </c>
      <c r="B48">
        <v>1733.0999755859375</v>
      </c>
      <c r="C48">
        <v>1.0930156243128837</v>
      </c>
      <c r="D48" s="2">
        <v>6.1349744805834789E-3</v>
      </c>
      <c r="E48" s="2">
        <v>-8.2313945292115769E-3</v>
      </c>
    </row>
    <row r="49" spans="1:5" x14ac:dyDescent="0.35">
      <c r="A49" s="1">
        <v>44258</v>
      </c>
      <c r="B49">
        <v>1715.300048828125</v>
      </c>
      <c r="C49">
        <v>1.0928961492338718</v>
      </c>
      <c r="D49" s="2">
        <v>-1.0323677486387741E-2</v>
      </c>
      <c r="E49" s="2">
        <v>-1.0931372489662724E-4</v>
      </c>
    </row>
    <row r="50" spans="1:5" x14ac:dyDescent="0.35">
      <c r="A50" s="1">
        <v>44259</v>
      </c>
      <c r="B50">
        <v>1700.199951171875</v>
      </c>
      <c r="C50">
        <v>1.0873110483560409</v>
      </c>
      <c r="D50" s="2">
        <v>-8.8421584177990169E-3</v>
      </c>
      <c r="E50" s="2">
        <v>-5.1234700090726807E-3</v>
      </c>
    </row>
    <row r="51" spans="1:5" x14ac:dyDescent="0.35">
      <c r="A51" s="1">
        <v>44260</v>
      </c>
      <c r="B51">
        <v>1698</v>
      </c>
      <c r="C51">
        <v>1.0761019480100067</v>
      </c>
      <c r="D51" s="2">
        <v>-1.2947745929176705E-3</v>
      </c>
      <c r="E51" s="2">
        <v>-1.0362515773981488E-2</v>
      </c>
    </row>
    <row r="52" spans="1:5" x14ac:dyDescent="0.35">
      <c r="A52" s="1">
        <v>44263</v>
      </c>
      <c r="B52">
        <v>1677.699951171875</v>
      </c>
      <c r="C52">
        <v>1.0750376485806956</v>
      </c>
      <c r="D52" s="2">
        <v>-1.2027309199143453E-2</v>
      </c>
      <c r="E52" s="2">
        <v>-9.8952157065079825E-4</v>
      </c>
    </row>
    <row r="53" spans="1:5" x14ac:dyDescent="0.35">
      <c r="A53" s="1">
        <v>44264</v>
      </c>
      <c r="B53">
        <v>1716.5999755859375</v>
      </c>
      <c r="C53">
        <v>1.0686043844635826</v>
      </c>
      <c r="D53" s="2">
        <v>2.2921797389633937E-2</v>
      </c>
      <c r="E53" s="2">
        <v>-6.0021993708616597E-3</v>
      </c>
    </row>
    <row r="54" spans="1:5" x14ac:dyDescent="0.35">
      <c r="A54" s="1">
        <v>44265</v>
      </c>
      <c r="B54">
        <v>1721.5</v>
      </c>
      <c r="C54">
        <v>1.0774236824013967</v>
      </c>
      <c r="D54" s="2">
        <v>2.8504277167953028E-3</v>
      </c>
      <c r="E54" s="2">
        <v>8.2192285584990962E-3</v>
      </c>
    </row>
    <row r="55" spans="1:5" x14ac:dyDescent="0.35">
      <c r="A55" s="1">
        <v>44266</v>
      </c>
      <c r="B55">
        <v>1722.300048828125</v>
      </c>
      <c r="C55">
        <v>1.0756157704001172</v>
      </c>
      <c r="D55" s="2">
        <v>4.6463141365605257E-4</v>
      </c>
      <c r="E55" s="2">
        <v>-1.6794048282270907E-3</v>
      </c>
    </row>
    <row r="56" spans="1:5" x14ac:dyDescent="0.35">
      <c r="A56" s="1">
        <v>44267</v>
      </c>
      <c r="B56">
        <v>1719.5</v>
      </c>
      <c r="C56">
        <v>1.0814785659277335</v>
      </c>
      <c r="D56" s="2">
        <v>-1.6270843199136934E-3</v>
      </c>
      <c r="E56" s="2">
        <v>5.4358401162199598E-3</v>
      </c>
    </row>
    <row r="57" spans="1:5" x14ac:dyDescent="0.35">
      <c r="A57" s="1">
        <v>44270</v>
      </c>
      <c r="B57">
        <v>1728.9000244140625</v>
      </c>
      <c r="C57">
        <v>1.0761192727869828</v>
      </c>
      <c r="D57" s="2">
        <v>5.4518313595629479E-3</v>
      </c>
      <c r="E57" s="2">
        <v>-4.9678434661215116E-3</v>
      </c>
    </row>
    <row r="58" spans="1:5" x14ac:dyDescent="0.35">
      <c r="A58" s="1">
        <v>44271</v>
      </c>
      <c r="B58">
        <v>1730.5999755859375</v>
      </c>
      <c r="C58">
        <v>1.0780508536328182</v>
      </c>
      <c r="D58" s="2">
        <v>9.8277283347242197E-4</v>
      </c>
      <c r="E58" s="2">
        <v>1.7933415191502071E-3</v>
      </c>
    </row>
    <row r="59" spans="1:5" x14ac:dyDescent="0.35">
      <c r="A59" s="1">
        <v>44272</v>
      </c>
      <c r="B59">
        <v>1726.800048828125</v>
      </c>
      <c r="C59">
        <v>1.0813149037589276</v>
      </c>
      <c r="D59" s="2">
        <v>-2.1981421073807767E-3</v>
      </c>
      <c r="E59" s="2">
        <v>3.023158629717854E-3</v>
      </c>
    </row>
    <row r="60" spans="1:5" x14ac:dyDescent="0.35">
      <c r="A60" s="1">
        <v>44273</v>
      </c>
      <c r="B60">
        <v>1732.199951171875</v>
      </c>
      <c r="C60">
        <v>1.0843164247554713</v>
      </c>
      <c r="D60" s="2">
        <v>3.122235750465632E-3</v>
      </c>
      <c r="E60" s="2">
        <v>2.7719611172400652E-3</v>
      </c>
    </row>
    <row r="61" spans="1:5" x14ac:dyDescent="0.35">
      <c r="A61" s="1">
        <v>44274</v>
      </c>
      <c r="B61">
        <v>1741.4000244140625</v>
      </c>
      <c r="C61">
        <v>1.0783763924162262</v>
      </c>
      <c r="D61" s="2">
        <v>5.2971527058642155E-3</v>
      </c>
      <c r="E61" s="2">
        <v>-5.4931955466609927E-3</v>
      </c>
    </row>
    <row r="62" spans="1:5" x14ac:dyDescent="0.35">
      <c r="A62" s="1">
        <v>44277</v>
      </c>
      <c r="B62">
        <v>1737.800048828125</v>
      </c>
      <c r="C62">
        <v>1.0752225689112211</v>
      </c>
      <c r="D62" s="2">
        <v>-2.0694279115334759E-3</v>
      </c>
      <c r="E62" s="2">
        <v>-2.9288886335839181E-3</v>
      </c>
    </row>
    <row r="63" spans="1:5" x14ac:dyDescent="0.35">
      <c r="A63" s="1">
        <v>44278</v>
      </c>
      <c r="B63">
        <v>1724.699951171875</v>
      </c>
      <c r="C63">
        <v>1.0831888949420372</v>
      </c>
      <c r="D63" s="2">
        <v>-7.5668795165003246E-3</v>
      </c>
      <c r="E63" s="2">
        <v>7.3816900415153803E-3</v>
      </c>
    </row>
    <row r="64" spans="1:5" x14ac:dyDescent="0.35">
      <c r="A64" s="1">
        <v>44279</v>
      </c>
      <c r="B64">
        <v>1732.9000244140625</v>
      </c>
      <c r="C64">
        <v>1.0700680492522185</v>
      </c>
      <c r="D64" s="2">
        <v>4.7432257484864076E-3</v>
      </c>
      <c r="E64" s="2">
        <v>-1.218712715522677E-2</v>
      </c>
    </row>
    <row r="65" spans="1:5" x14ac:dyDescent="0.35">
      <c r="A65" s="1">
        <v>44280</v>
      </c>
      <c r="B65">
        <v>1724.9000244140625</v>
      </c>
      <c r="C65">
        <v>1.0683875102478422</v>
      </c>
      <c r="D65" s="2">
        <v>-4.6272278102745161E-3</v>
      </c>
      <c r="E65" s="2">
        <v>-1.5717318443857933E-3</v>
      </c>
    </row>
    <row r="66" spans="1:5" x14ac:dyDescent="0.35">
      <c r="A66" s="1">
        <v>44281</v>
      </c>
      <c r="B66">
        <v>1732.199951171875</v>
      </c>
      <c r="C66">
        <v>1.0643846398147689</v>
      </c>
      <c r="D66" s="2">
        <v>4.2231567839576944E-3</v>
      </c>
      <c r="E66" s="2">
        <v>-3.7536828610939535E-3</v>
      </c>
    </row>
    <row r="67" spans="1:5" x14ac:dyDescent="0.35">
      <c r="A67" s="1">
        <v>44284</v>
      </c>
      <c r="B67">
        <v>1712.0999755859375</v>
      </c>
      <c r="C67">
        <v>1.0643393311426805</v>
      </c>
      <c r="D67" s="2">
        <v>-1.1671575757386563E-2</v>
      </c>
      <c r="E67" s="2">
        <v>-4.2568856003274187E-5</v>
      </c>
    </row>
    <row r="68" spans="1:5" x14ac:dyDescent="0.35">
      <c r="A68" s="1">
        <v>44285</v>
      </c>
      <c r="B68">
        <v>1683.9000244140625</v>
      </c>
      <c r="C68">
        <v>1.0650761598686858</v>
      </c>
      <c r="D68" s="2">
        <v>-1.6608126836268462E-2</v>
      </c>
      <c r="E68" s="2">
        <v>6.9204789626346221E-4</v>
      </c>
    </row>
    <row r="69" spans="1:5" x14ac:dyDescent="0.35">
      <c r="A69" s="1">
        <v>44286</v>
      </c>
      <c r="B69">
        <v>1713.800048828125</v>
      </c>
      <c r="C69">
        <v>1.0619205583261708</v>
      </c>
      <c r="D69" s="2">
        <v>1.7600609611377438E-2</v>
      </c>
      <c r="E69" s="2">
        <v>-2.9671920325410649E-3</v>
      </c>
    </row>
    <row r="70" spans="1:5" x14ac:dyDescent="0.35">
      <c r="A70" s="1">
        <v>44287</v>
      </c>
      <c r="B70">
        <v>1726.5</v>
      </c>
      <c r="C70">
        <v>1.0594342743066532</v>
      </c>
      <c r="D70" s="2">
        <v>7.3830821038836664E-3</v>
      </c>
      <c r="E70" s="2">
        <v>-2.3440540165151221E-3</v>
      </c>
    </row>
    <row r="71" spans="1:5" x14ac:dyDescent="0.35">
      <c r="A71" s="1">
        <v>44291</v>
      </c>
      <c r="B71">
        <v>1727</v>
      </c>
      <c r="C71">
        <v>1.0615711569698492</v>
      </c>
      <c r="D71" s="2">
        <v>2.8956131663167214E-4</v>
      </c>
      <c r="E71" s="2">
        <v>2.0149721020833672E-3</v>
      </c>
    </row>
    <row r="72" spans="1:5" x14ac:dyDescent="0.35">
      <c r="A72" s="1">
        <v>44292</v>
      </c>
      <c r="B72">
        <v>1741.5</v>
      </c>
      <c r="C72">
        <v>1.0683304312332826</v>
      </c>
      <c r="D72" s="2">
        <v>8.3610116593772054E-3</v>
      </c>
      <c r="E72" s="2">
        <v>6.3470509551561425E-3</v>
      </c>
    </row>
    <row r="73" spans="1:5" x14ac:dyDescent="0.35">
      <c r="A73" s="1">
        <v>44293</v>
      </c>
      <c r="B73">
        <v>1740.0999755859375</v>
      </c>
      <c r="C73">
        <v>1.0736525648203712</v>
      </c>
      <c r="D73" s="2">
        <v>-8.0424201478737796E-4</v>
      </c>
      <c r="E73" s="2">
        <v>4.969362081026398E-3</v>
      </c>
    </row>
    <row r="74" spans="1:5" x14ac:dyDescent="0.35">
      <c r="A74" s="1">
        <v>44294</v>
      </c>
      <c r="B74">
        <v>1756.800048828125</v>
      </c>
      <c r="C74">
        <v>1.0760787571498474</v>
      </c>
      <c r="D74" s="2">
        <v>9.5514313177296126E-3</v>
      </c>
      <c r="E74" s="2">
        <v>2.2572061306426212E-3</v>
      </c>
    </row>
    <row r="75" spans="1:5" x14ac:dyDescent="0.35">
      <c r="A75" s="1">
        <v>44295</v>
      </c>
      <c r="B75">
        <v>1743.300048828125</v>
      </c>
      <c r="C75">
        <v>1.0820637076235331</v>
      </c>
      <c r="D75" s="2">
        <v>-7.7141033508086694E-3</v>
      </c>
      <c r="E75" s="2">
        <v>5.5464047569529574E-3</v>
      </c>
    </row>
    <row r="76" spans="1:5" x14ac:dyDescent="0.35">
      <c r="A76" s="1">
        <v>44298</v>
      </c>
      <c r="B76">
        <v>1731.199951171875</v>
      </c>
      <c r="C76">
        <v>1.080742267191195</v>
      </c>
      <c r="D76" s="2">
        <v>-6.9651153108131235E-3</v>
      </c>
      <c r="E76" s="2">
        <v>-1.2219686945181046E-3</v>
      </c>
    </row>
    <row r="77" spans="1:5" x14ac:dyDescent="0.35">
      <c r="A77" s="1">
        <v>44299</v>
      </c>
      <c r="B77">
        <v>1746.199951171875</v>
      </c>
      <c r="C77">
        <v>1.084481066944464</v>
      </c>
      <c r="D77" s="2">
        <v>8.6271889668262814E-3</v>
      </c>
      <c r="E77" s="2">
        <v>3.453503765900486E-3</v>
      </c>
    </row>
    <row r="78" spans="1:5" x14ac:dyDescent="0.35">
      <c r="A78" s="1">
        <v>44300</v>
      </c>
      <c r="B78">
        <v>1734.9000244140625</v>
      </c>
      <c r="C78">
        <v>1.0868384182231505</v>
      </c>
      <c r="D78" s="2">
        <v>-6.4921815096036159E-3</v>
      </c>
      <c r="E78" s="2">
        <v>2.1713545344101493E-3</v>
      </c>
    </row>
    <row r="79" spans="1:5" x14ac:dyDescent="0.35">
      <c r="A79" s="1">
        <v>44301</v>
      </c>
      <c r="B79">
        <v>1765.4000244140625</v>
      </c>
      <c r="C79">
        <v>1.0837758893750182</v>
      </c>
      <c r="D79" s="2">
        <v>1.7427518510729378E-2</v>
      </c>
      <c r="E79" s="2">
        <v>-2.8218102769857391E-3</v>
      </c>
    </row>
    <row r="80" spans="1:5" x14ac:dyDescent="0.35">
      <c r="A80" s="1">
        <v>44302</v>
      </c>
      <c r="B80">
        <v>1779</v>
      </c>
      <c r="C80">
        <v>1.0847245822955727</v>
      </c>
      <c r="D80" s="2">
        <v>7.6741012505068384E-3</v>
      </c>
      <c r="E80" s="2">
        <v>8.7497604309840567E-4</v>
      </c>
    </row>
    <row r="81" spans="1:5" x14ac:dyDescent="0.35">
      <c r="A81" s="1">
        <v>44305</v>
      </c>
      <c r="B81">
        <v>1769.4000244140625</v>
      </c>
      <c r="C81">
        <v>1.0863071122965637</v>
      </c>
      <c r="D81" s="2">
        <v>-5.4108888186167351E-3</v>
      </c>
      <c r="E81" s="2">
        <v>1.4578601364684625E-3</v>
      </c>
    </row>
    <row r="82" spans="1:5" x14ac:dyDescent="0.35">
      <c r="A82" s="1">
        <v>44306</v>
      </c>
      <c r="B82">
        <v>1777.300048828125</v>
      </c>
      <c r="C82">
        <v>1.0932546528539235</v>
      </c>
      <c r="D82" s="2">
        <v>4.4548663919310094E-3</v>
      </c>
      <c r="E82" s="2">
        <v>6.3751935817786343E-3</v>
      </c>
    </row>
    <row r="83" spans="1:5" x14ac:dyDescent="0.35">
      <c r="A83" s="1">
        <v>44307</v>
      </c>
      <c r="B83">
        <v>1792.300048828125</v>
      </c>
      <c r="C83">
        <v>1.09182226088704</v>
      </c>
      <c r="D83" s="2">
        <v>8.4043522416786792E-3</v>
      </c>
      <c r="E83" s="2">
        <v>-1.3110679656665278E-3</v>
      </c>
    </row>
    <row r="84" spans="1:5" x14ac:dyDescent="0.35">
      <c r="A84" s="1">
        <v>44308</v>
      </c>
      <c r="B84">
        <v>1781.199951171875</v>
      </c>
      <c r="C84">
        <v>1.0908337400798442</v>
      </c>
      <c r="D84" s="2">
        <v>-6.2124714463313632E-3</v>
      </c>
      <c r="E84" s="2">
        <v>-9.0579630903385021E-4</v>
      </c>
    </row>
    <row r="85" spans="1:5" x14ac:dyDescent="0.35">
      <c r="A85" s="1">
        <v>44309</v>
      </c>
      <c r="B85">
        <v>1777</v>
      </c>
      <c r="C85">
        <v>1.0904649856506612</v>
      </c>
      <c r="D85" s="2">
        <v>-2.3607178798454131E-3</v>
      </c>
      <c r="E85" s="2">
        <v>-3.3810539413613427E-4</v>
      </c>
    </row>
    <row r="86" spans="1:5" x14ac:dyDescent="0.35">
      <c r="A86" s="1">
        <v>44312</v>
      </c>
      <c r="B86">
        <v>1779.199951171875</v>
      </c>
      <c r="C86">
        <v>1.0942235886706237</v>
      </c>
      <c r="D86" s="2">
        <v>1.2372484577462129E-3</v>
      </c>
      <c r="E86" s="2">
        <v>3.4408627137830551E-3</v>
      </c>
    </row>
    <row r="87" spans="1:5" x14ac:dyDescent="0.35">
      <c r="A87" s="1">
        <v>44313</v>
      </c>
      <c r="B87">
        <v>1778</v>
      </c>
      <c r="C87">
        <v>1.093326324804516</v>
      </c>
      <c r="D87" s="2">
        <v>-6.7466053854779728E-4</v>
      </c>
      <c r="E87" s="2">
        <v>-8.2033686262307579E-4</v>
      </c>
    </row>
    <row r="88" spans="1:5" x14ac:dyDescent="0.35">
      <c r="A88" s="1">
        <v>44314</v>
      </c>
      <c r="B88">
        <v>1773.199951171875</v>
      </c>
      <c r="C88">
        <v>1.0940439895619491</v>
      </c>
      <c r="D88" s="2">
        <v>-2.7033407396791602E-3</v>
      </c>
      <c r="E88" s="2">
        <v>6.5618956101853908E-4</v>
      </c>
    </row>
    <row r="89" spans="1:5" x14ac:dyDescent="0.35">
      <c r="A89" s="1">
        <v>44315</v>
      </c>
      <c r="B89">
        <v>1768.0999755859375</v>
      </c>
      <c r="C89">
        <v>1.1004732164128117</v>
      </c>
      <c r="D89" s="2">
        <v>-2.8802864582050088E-3</v>
      </c>
      <c r="E89" s="2">
        <v>5.8593710065142504E-3</v>
      </c>
    </row>
    <row r="90" spans="1:5" x14ac:dyDescent="0.35">
      <c r="A90" s="1">
        <v>44316</v>
      </c>
      <c r="B90">
        <v>1767.300048828125</v>
      </c>
      <c r="C90">
        <v>1.1001100358159008</v>
      </c>
      <c r="D90" s="2">
        <v>-4.5252405155806857E-4</v>
      </c>
      <c r="E90" s="2">
        <v>-3.3007667384583596E-4</v>
      </c>
    </row>
    <row r="91" spans="1:5" x14ac:dyDescent="0.35">
      <c r="A91" s="1">
        <v>44319</v>
      </c>
      <c r="B91">
        <v>1791.4000244140625</v>
      </c>
      <c r="C91">
        <v>1.0954102659193832</v>
      </c>
      <c r="D91" s="2">
        <v>1.3544464845169118E-2</v>
      </c>
      <c r="E91" s="2">
        <v>-4.2812421924054442E-3</v>
      </c>
    </row>
    <row r="92" spans="1:5" x14ac:dyDescent="0.35">
      <c r="A92" s="1">
        <v>44320</v>
      </c>
      <c r="B92">
        <v>1775.800048828125</v>
      </c>
      <c r="C92">
        <v>1.0970445958547457</v>
      </c>
      <c r="D92" s="2">
        <v>-8.7463975749406207E-3</v>
      </c>
      <c r="E92" s="2">
        <v>1.4908678546356698E-3</v>
      </c>
    </row>
    <row r="93" spans="1:5" x14ac:dyDescent="0.35">
      <c r="A93" s="1">
        <v>44321</v>
      </c>
      <c r="B93">
        <v>1784.0999755859375</v>
      </c>
      <c r="C93">
        <v>1.0948106045107808</v>
      </c>
      <c r="D93" s="2">
        <v>4.6630196017758254E-3</v>
      </c>
      <c r="E93" s="2">
        <v>-2.0384486321564413E-3</v>
      </c>
    </row>
    <row r="94" spans="1:5" x14ac:dyDescent="0.35">
      <c r="A94" s="1">
        <v>44322</v>
      </c>
      <c r="B94">
        <v>1815.5</v>
      </c>
      <c r="C94">
        <v>1.095158283812389</v>
      </c>
      <c r="D94" s="2">
        <v>1.7446839157978355E-2</v>
      </c>
      <c r="E94" s="2">
        <v>3.1751985736686164E-4</v>
      </c>
    </row>
    <row r="95" spans="1:5" x14ac:dyDescent="0.35">
      <c r="A95" s="1">
        <v>44323</v>
      </c>
      <c r="B95">
        <v>1831.0999755859375</v>
      </c>
      <c r="C95">
        <v>1.1018191373084607</v>
      </c>
      <c r="D95" s="2">
        <v>8.5559539602740597E-3</v>
      </c>
      <c r="E95" s="2">
        <v>6.0636707878167313E-3</v>
      </c>
    </row>
    <row r="96" spans="1:5" x14ac:dyDescent="0.35">
      <c r="A96" s="1">
        <v>44326</v>
      </c>
      <c r="B96">
        <v>1837.5</v>
      </c>
      <c r="C96">
        <v>1.1105558440155467</v>
      </c>
      <c r="D96" s="2">
        <v>3.4890862723269988E-3</v>
      </c>
      <c r="E96" s="2">
        <v>7.8980753234049756E-3</v>
      </c>
    </row>
    <row r="97" spans="1:5" x14ac:dyDescent="0.35">
      <c r="A97" s="1">
        <v>44327</v>
      </c>
      <c r="B97">
        <v>1835.9000244140625</v>
      </c>
      <c r="C97">
        <v>1.1106421543413256</v>
      </c>
      <c r="D97" s="2">
        <v>-8.7111432268797094E-4</v>
      </c>
      <c r="E97" s="2">
        <v>7.7715112192781443E-5</v>
      </c>
    </row>
    <row r="98" spans="1:5" x14ac:dyDescent="0.35">
      <c r="A98" s="1">
        <v>44328</v>
      </c>
      <c r="B98">
        <v>1822.5999755859375</v>
      </c>
      <c r="C98">
        <v>1.10639050498753</v>
      </c>
      <c r="D98" s="2">
        <v>-7.270798097461572E-3</v>
      </c>
      <c r="E98" s="2">
        <v>-3.8354460390529086E-3</v>
      </c>
    </row>
    <row r="99" spans="1:5" x14ac:dyDescent="0.35">
      <c r="A99" s="1">
        <v>44329</v>
      </c>
      <c r="B99">
        <v>1823.800048828125</v>
      </c>
      <c r="C99">
        <v>1.1005943539718304</v>
      </c>
      <c r="D99" s="2">
        <v>6.5822360546341995E-4</v>
      </c>
      <c r="E99" s="2">
        <v>-5.2525637574754201E-3</v>
      </c>
    </row>
    <row r="100" spans="1:5" x14ac:dyDescent="0.35">
      <c r="A100" s="1">
        <v>44330</v>
      </c>
      <c r="B100">
        <v>1837.9000244140625</v>
      </c>
      <c r="C100">
        <v>1.1038258650104864</v>
      </c>
      <c r="D100" s="2">
        <v>7.7013654827954798E-3</v>
      </c>
      <c r="E100" s="2">
        <v>2.9318487696649471E-3</v>
      </c>
    </row>
    <row r="101" spans="1:5" x14ac:dyDescent="0.35">
      <c r="A101" s="1">
        <v>44333</v>
      </c>
      <c r="B101">
        <v>1867.5</v>
      </c>
      <c r="C101">
        <v>1.1096316066527303</v>
      </c>
      <c r="D101" s="2">
        <v>1.597700925187108E-2</v>
      </c>
      <c r="E101" s="2">
        <v>5.2458698941843874E-3</v>
      </c>
    </row>
    <row r="102" spans="1:5" x14ac:dyDescent="0.35">
      <c r="A102" s="1">
        <v>44334</v>
      </c>
      <c r="B102">
        <v>1867.800048828125</v>
      </c>
      <c r="C102">
        <v>1.1070151206539889</v>
      </c>
      <c r="D102" s="2">
        <v>1.6065581069687392E-4</v>
      </c>
      <c r="E102" s="2">
        <v>-2.3607615789122071E-3</v>
      </c>
    </row>
    <row r="103" spans="1:5" x14ac:dyDescent="0.35">
      <c r="A103" s="1">
        <v>44335</v>
      </c>
      <c r="B103">
        <v>1881.300048828125</v>
      </c>
      <c r="C103">
        <v>1.1142930334435701</v>
      </c>
      <c r="D103" s="2">
        <v>7.2017593538749791E-3</v>
      </c>
      <c r="E103" s="2">
        <v>6.5528403330831365E-3</v>
      </c>
    </row>
    <row r="104" spans="1:5" x14ac:dyDescent="0.35">
      <c r="A104" s="1">
        <v>44336</v>
      </c>
      <c r="B104">
        <v>1881.800048828125</v>
      </c>
      <c r="C104">
        <v>1.1060968377720251</v>
      </c>
      <c r="D104" s="2">
        <v>2.6573834868414716E-4</v>
      </c>
      <c r="E104" s="2">
        <v>-7.3826970704855043E-3</v>
      </c>
    </row>
    <row r="105" spans="1:5" x14ac:dyDescent="0.35">
      <c r="A105" s="1">
        <v>44337</v>
      </c>
      <c r="B105">
        <v>1876.699951171875</v>
      </c>
      <c r="C105">
        <v>1.1144544683754616</v>
      </c>
      <c r="D105" s="2">
        <v>-2.7139022410788334E-3</v>
      </c>
      <c r="E105" s="2">
        <v>7.5275631282530602E-3</v>
      </c>
    </row>
    <row r="106" spans="1:5" x14ac:dyDescent="0.35">
      <c r="A106" s="1">
        <v>44340</v>
      </c>
      <c r="B106">
        <v>1884.5999755859375</v>
      </c>
      <c r="C106">
        <v>1.1143302607341161</v>
      </c>
      <c r="D106" s="2">
        <v>4.2006945389998773E-3</v>
      </c>
      <c r="E106" s="2">
        <v>-1.1145772837711519E-4</v>
      </c>
    </row>
    <row r="107" spans="1:5" x14ac:dyDescent="0.35">
      <c r="A107" s="1">
        <v>44341</v>
      </c>
      <c r="B107">
        <v>1898.0999755859375</v>
      </c>
      <c r="C107">
        <v>1.1148271834121273</v>
      </c>
      <c r="D107" s="2">
        <v>7.1377891404298434E-3</v>
      </c>
      <c r="E107" s="2">
        <v>4.4583902096946316E-4</v>
      </c>
    </row>
    <row r="108" spans="1:5" x14ac:dyDescent="0.35">
      <c r="A108" s="1">
        <v>44342</v>
      </c>
      <c r="B108">
        <v>1901.300048828125</v>
      </c>
      <c r="C108">
        <v>1.116569871237066</v>
      </c>
      <c r="D108" s="2">
        <v>1.684515438402536E-3</v>
      </c>
      <c r="E108" s="2">
        <v>1.5619704934342359E-3</v>
      </c>
    </row>
    <row r="109" spans="1:5" x14ac:dyDescent="0.35">
      <c r="A109" s="1">
        <v>44343</v>
      </c>
      <c r="B109">
        <v>1895.699951171875</v>
      </c>
      <c r="C109">
        <v>1.113920675421491</v>
      </c>
      <c r="D109" s="2">
        <v>-2.949750706768753E-3</v>
      </c>
      <c r="E109" s="2">
        <v>-2.3754389502021155E-3</v>
      </c>
    </row>
    <row r="110" spans="1:5" x14ac:dyDescent="0.35">
      <c r="A110" s="1">
        <v>44344</v>
      </c>
      <c r="B110">
        <v>1902.5</v>
      </c>
      <c r="C110">
        <v>1.1147650345827196</v>
      </c>
      <c r="D110" s="2">
        <v>3.5806730456278716E-3</v>
      </c>
      <c r="E110" s="2">
        <v>7.577194019206733E-4</v>
      </c>
    </row>
    <row r="111" spans="1:5" x14ac:dyDescent="0.35">
      <c r="A111" s="1">
        <v>44348</v>
      </c>
      <c r="B111">
        <v>1902.9000244140625</v>
      </c>
      <c r="C111">
        <v>1.1130899269146484</v>
      </c>
      <c r="D111" s="2">
        <v>2.1024040204428116E-4</v>
      </c>
      <c r="E111" s="2">
        <v>-1.5037854911482565E-3</v>
      </c>
    </row>
    <row r="112" spans="1:5" x14ac:dyDescent="0.35">
      <c r="A112" s="1">
        <v>44349</v>
      </c>
      <c r="B112">
        <v>1907.5</v>
      </c>
      <c r="C112">
        <v>1.1148520745171699</v>
      </c>
      <c r="D112" s="2">
        <v>2.4144330207268982E-3</v>
      </c>
      <c r="E112" s="2">
        <v>1.5818616183356617E-3</v>
      </c>
    </row>
    <row r="113" spans="1:5" x14ac:dyDescent="0.35">
      <c r="A113" s="1">
        <v>44350</v>
      </c>
      <c r="B113">
        <v>1871.199951171875</v>
      </c>
      <c r="C113">
        <v>1.1133378170644346</v>
      </c>
      <c r="D113" s="2">
        <v>-1.9213573983194728E-2</v>
      </c>
      <c r="E113" s="2">
        <v>-1.3591819005851422E-3</v>
      </c>
    </row>
    <row r="114" spans="1:5" x14ac:dyDescent="0.35">
      <c r="A114" s="1">
        <v>44351</v>
      </c>
      <c r="B114">
        <v>1889.800048828125</v>
      </c>
      <c r="C114">
        <v>1.1068068370847095</v>
      </c>
      <c r="D114" s="2">
        <v>9.8911190108288208E-3</v>
      </c>
      <c r="E114" s="2">
        <v>-5.8833993598854436E-3</v>
      </c>
    </row>
    <row r="115" spans="1:5" x14ac:dyDescent="0.35">
      <c r="A115" s="1">
        <v>44354</v>
      </c>
      <c r="B115">
        <v>1896.800048828125</v>
      </c>
      <c r="C115">
        <v>1.1122233274851261</v>
      </c>
      <c r="D115" s="2">
        <v>3.6972523073180667E-3</v>
      </c>
      <c r="E115" s="2">
        <v>4.8818634773981091E-3</v>
      </c>
    </row>
    <row r="116" spans="1:5" x14ac:dyDescent="0.35">
      <c r="A116" s="1">
        <v>44355</v>
      </c>
      <c r="B116">
        <v>1892.199951171875</v>
      </c>
      <c r="C116">
        <v>1.114206154772446</v>
      </c>
      <c r="D116" s="2">
        <v>-2.428134028169905E-3</v>
      </c>
      <c r="E116" s="2">
        <v>1.7811727946864372E-3</v>
      </c>
    </row>
    <row r="117" spans="1:5" x14ac:dyDescent="0.35">
      <c r="A117" s="1">
        <v>44356</v>
      </c>
      <c r="B117">
        <v>1893.199951171875</v>
      </c>
      <c r="C117">
        <v>1.1150758480419163</v>
      </c>
      <c r="D117" s="2">
        <v>5.2834577537939648E-4</v>
      </c>
      <c r="E117" s="2">
        <v>7.8024522020419163E-4</v>
      </c>
    </row>
    <row r="118" spans="1:5" x14ac:dyDescent="0.35">
      <c r="A118" s="1">
        <v>44357</v>
      </c>
      <c r="B118">
        <v>1894.199951171875</v>
      </c>
      <c r="C118">
        <v>1.116569871237066</v>
      </c>
      <c r="D118" s="2">
        <v>5.2806677352404028E-4</v>
      </c>
      <c r="E118" s="2">
        <v>1.3389431892760098E-3</v>
      </c>
    </row>
    <row r="119" spans="1:5" x14ac:dyDescent="0.35">
      <c r="A119" s="1">
        <v>44358</v>
      </c>
      <c r="B119">
        <v>1877.4000244140625</v>
      </c>
      <c r="C119">
        <v>1.117755568785487</v>
      </c>
      <c r="D119" s="2">
        <v>-8.9087061072183459E-3</v>
      </c>
      <c r="E119" s="2">
        <v>1.0613473207485801E-3</v>
      </c>
    </row>
    <row r="120" spans="1:5" x14ac:dyDescent="0.35">
      <c r="A120" s="1">
        <v>44361</v>
      </c>
      <c r="B120">
        <v>1864</v>
      </c>
      <c r="C120">
        <v>1.1139430113641042</v>
      </c>
      <c r="D120" s="2">
        <v>-7.1631376615428777E-3</v>
      </c>
      <c r="E120" s="2">
        <v>-3.4167348263794911E-3</v>
      </c>
    </row>
    <row r="121" spans="1:5" x14ac:dyDescent="0.35">
      <c r="A121" s="1">
        <v>44362</v>
      </c>
      <c r="B121">
        <v>1854.5</v>
      </c>
      <c r="C121">
        <v>1.1122233274851261</v>
      </c>
      <c r="D121" s="2">
        <v>-5.1095983158909782E-3</v>
      </c>
      <c r="E121" s="2">
        <v>-1.5449736985357965E-3</v>
      </c>
    </row>
    <row r="122" spans="1:5" x14ac:dyDescent="0.35">
      <c r="A122" s="1">
        <v>44363</v>
      </c>
      <c r="B122">
        <v>1859.5</v>
      </c>
      <c r="C122">
        <v>1.1129660232306193</v>
      </c>
      <c r="D122" s="2">
        <v>2.6925164354793135E-3</v>
      </c>
      <c r="E122" s="2">
        <v>6.6753489794760929E-4</v>
      </c>
    </row>
    <row r="123" spans="1:5" x14ac:dyDescent="0.35">
      <c r="A123" s="1">
        <v>44364</v>
      </c>
      <c r="B123">
        <v>1773.800048828125</v>
      </c>
      <c r="C123">
        <v>1.1006791228060506</v>
      </c>
      <c r="D123" s="2">
        <v>-4.7183468895360209E-2</v>
      </c>
      <c r="E123" s="2">
        <v>-1.1101170961097053E-2</v>
      </c>
    </row>
    <row r="124" spans="1:5" x14ac:dyDescent="0.35">
      <c r="A124" s="1">
        <v>44365</v>
      </c>
      <c r="B124">
        <v>1767.9000244140625</v>
      </c>
      <c r="C124">
        <v>1.0897401155601998</v>
      </c>
      <c r="D124" s="2">
        <v>-3.3317501481472242E-3</v>
      </c>
      <c r="E124" s="2">
        <v>-9.9881319486640925E-3</v>
      </c>
    </row>
    <row r="125" spans="1:5" x14ac:dyDescent="0.35">
      <c r="A125" s="1">
        <v>44368</v>
      </c>
      <c r="B125">
        <v>1781.800048828125</v>
      </c>
      <c r="C125">
        <v>1.0840225901790899</v>
      </c>
      <c r="D125" s="2">
        <v>7.8317013687450379E-3</v>
      </c>
      <c r="E125" s="2">
        <v>-5.2604992725543134E-3</v>
      </c>
    </row>
    <row r="126" spans="1:5" x14ac:dyDescent="0.35">
      <c r="A126" s="1">
        <v>44369</v>
      </c>
      <c r="B126">
        <v>1776.300048828125</v>
      </c>
      <c r="C126">
        <v>1.0885538899907081</v>
      </c>
      <c r="D126" s="2">
        <v>-3.09153999585223E-3</v>
      </c>
      <c r="E126" s="2">
        <v>4.1713665074379815E-3</v>
      </c>
    </row>
    <row r="127" spans="1:5" x14ac:dyDescent="0.35">
      <c r="A127" s="1">
        <v>44370</v>
      </c>
      <c r="B127">
        <v>1782.300048828125</v>
      </c>
      <c r="C127">
        <v>1.0886249468980169</v>
      </c>
      <c r="D127" s="2">
        <v>3.3721157314263658E-3</v>
      </c>
      <c r="E127" s="2">
        <v>6.5274295459884652E-5</v>
      </c>
    </row>
    <row r="128" spans="1:5" x14ac:dyDescent="0.35">
      <c r="A128" s="1">
        <v>44371</v>
      </c>
      <c r="B128">
        <v>1775.5999755859375</v>
      </c>
      <c r="C128">
        <v>1.0891940898494028</v>
      </c>
      <c r="D128" s="2">
        <v>-3.7663122158099844E-3</v>
      </c>
      <c r="E128" s="2">
        <v>5.2267241193080637E-4</v>
      </c>
    </row>
    <row r="129" spans="1:5" x14ac:dyDescent="0.35">
      <c r="A129" s="1">
        <v>44372</v>
      </c>
      <c r="B129">
        <v>1776.5999755859375</v>
      </c>
      <c r="C129">
        <v>1.0891704019790096</v>
      </c>
      <c r="D129" s="2">
        <v>5.630313834598243E-4</v>
      </c>
      <c r="E129" s="2">
        <v>-2.1748307487589599E-5</v>
      </c>
    </row>
    <row r="130" spans="1:5" x14ac:dyDescent="0.35">
      <c r="A130" s="1">
        <v>44375</v>
      </c>
      <c r="B130">
        <v>1779.5999755859375</v>
      </c>
      <c r="C130">
        <v>1.0908813325993696</v>
      </c>
      <c r="D130" s="2">
        <v>1.6871946194519283E-3</v>
      </c>
      <c r="E130" s="2">
        <v>1.5696241923929032E-3</v>
      </c>
    </row>
    <row r="131" spans="1:5" x14ac:dyDescent="0.35">
      <c r="A131" s="1">
        <v>44376</v>
      </c>
      <c r="B131">
        <v>1762.800048828125</v>
      </c>
      <c r="C131">
        <v>1.0874174644113075</v>
      </c>
      <c r="D131" s="2">
        <v>-9.4851245460208285E-3</v>
      </c>
      <c r="E131" s="2">
        <v>-3.1803452423062838E-3</v>
      </c>
    </row>
    <row r="132" spans="1:5" x14ac:dyDescent="0.35">
      <c r="A132" s="1">
        <v>44377</v>
      </c>
      <c r="B132">
        <v>1770.800048828125</v>
      </c>
      <c r="C132">
        <v>1.0858942489704622</v>
      </c>
      <c r="D132" s="2">
        <v>4.5279677650164824E-3</v>
      </c>
      <c r="E132" s="2">
        <v>-1.4017461746322849E-3</v>
      </c>
    </row>
    <row r="133" spans="1:5" x14ac:dyDescent="0.35">
      <c r="A133" s="1">
        <v>44378</v>
      </c>
      <c r="B133">
        <v>1775.9000244140625</v>
      </c>
      <c r="C133">
        <v>1.0811395168192779</v>
      </c>
      <c r="D133" s="2">
        <v>2.8759009759461445E-3</v>
      </c>
      <c r="E133" s="2">
        <v>-4.3882470649842555E-3</v>
      </c>
    </row>
    <row r="134" spans="1:5" x14ac:dyDescent="0.35">
      <c r="A134" s="1">
        <v>44379</v>
      </c>
      <c r="B134">
        <v>1782.5999755859375</v>
      </c>
      <c r="C134">
        <v>1.0800302613154196</v>
      </c>
      <c r="D134" s="2">
        <v>3.7656085928761485E-3</v>
      </c>
      <c r="E134" s="2">
        <v>-1.0265325866475284E-3</v>
      </c>
    </row>
    <row r="135" spans="1:5" x14ac:dyDescent="0.35">
      <c r="A135" s="1">
        <v>44383</v>
      </c>
      <c r="B135">
        <v>1793.5</v>
      </c>
      <c r="C135">
        <v>1.084481066944464</v>
      </c>
      <c r="D135" s="2">
        <v>6.0960589714808182E-3</v>
      </c>
      <c r="E135" s="2">
        <v>4.1125327864492949E-3</v>
      </c>
    </row>
    <row r="136" spans="1:5" x14ac:dyDescent="0.35">
      <c r="A136" s="1">
        <v>44384</v>
      </c>
      <c r="B136">
        <v>1801.5</v>
      </c>
      <c r="C136">
        <v>1.0814669239240327</v>
      </c>
      <c r="D136" s="2">
        <v>4.4506332158106765E-3</v>
      </c>
      <c r="E136" s="2">
        <v>-2.7832108423968371E-3</v>
      </c>
    </row>
    <row r="137" spans="1:5" x14ac:dyDescent="0.35">
      <c r="A137" s="1">
        <v>44385</v>
      </c>
      <c r="B137">
        <v>1799.5999755859375</v>
      </c>
      <c r="C137">
        <v>1.0806137668047866</v>
      </c>
      <c r="D137" s="2">
        <v>-1.0552467875135981E-3</v>
      </c>
      <c r="E137" s="2">
        <v>-7.8920011374781585E-4</v>
      </c>
    </row>
    <row r="138" spans="1:5" x14ac:dyDescent="0.35">
      <c r="A138" s="1">
        <v>44386</v>
      </c>
      <c r="B138">
        <v>1810</v>
      </c>
      <c r="C138">
        <v>1.093206781795621</v>
      </c>
      <c r="D138" s="2">
        <v>5.7624408592370311E-3</v>
      </c>
      <c r="E138" s="2">
        <v>1.1586196360533773E-2</v>
      </c>
    </row>
    <row r="139" spans="1:5" x14ac:dyDescent="0.35">
      <c r="A139" s="1">
        <v>44389</v>
      </c>
      <c r="B139">
        <v>1805.5</v>
      </c>
      <c r="C139">
        <v>1.0940439895619491</v>
      </c>
      <c r="D139" s="2">
        <v>-2.4892835423589803E-3</v>
      </c>
      <c r="E139" s="2">
        <v>7.6553435772254528E-4</v>
      </c>
    </row>
    <row r="140" spans="1:5" x14ac:dyDescent="0.35">
      <c r="A140" s="1">
        <v>44390</v>
      </c>
      <c r="B140">
        <v>1809.4000244140625</v>
      </c>
      <c r="C140">
        <v>1.0928723000662868</v>
      </c>
      <c r="D140" s="2">
        <v>2.1577503670339305E-3</v>
      </c>
      <c r="E140" s="2">
        <v>-1.0715449999904511E-3</v>
      </c>
    </row>
    <row r="141" spans="1:5" x14ac:dyDescent="0.35">
      <c r="A141" s="1">
        <v>44391</v>
      </c>
      <c r="B141">
        <v>1824.300048828125</v>
      </c>
      <c r="C141">
        <v>1.0883761470877604</v>
      </c>
      <c r="D141" s="2">
        <v>8.2010664750303344E-3</v>
      </c>
      <c r="E141" s="2">
        <v>-4.1225559172249132E-3</v>
      </c>
    </row>
    <row r="142" spans="1:5" x14ac:dyDescent="0.35">
      <c r="A142" s="1">
        <v>44392</v>
      </c>
      <c r="B142">
        <v>1828.4000244140625</v>
      </c>
      <c r="C142">
        <v>1.093266550032217</v>
      </c>
      <c r="D142" s="2">
        <v>2.2449022507048935E-3</v>
      </c>
      <c r="E142" s="2">
        <v>4.4832374633092696E-3</v>
      </c>
    </row>
    <row r="143" spans="1:5" x14ac:dyDescent="0.35">
      <c r="A143" s="1">
        <v>44393</v>
      </c>
      <c r="B143">
        <v>1814.5</v>
      </c>
      <c r="C143">
        <v>1.0895619850957217</v>
      </c>
      <c r="D143" s="2">
        <v>-7.6313331571564811E-3</v>
      </c>
      <c r="E143" s="2">
        <v>-3.3942826324801162E-3</v>
      </c>
    </row>
    <row r="144" spans="1:5" x14ac:dyDescent="0.35">
      <c r="A144" s="1">
        <v>44396</v>
      </c>
      <c r="B144">
        <v>1808.699951171875</v>
      </c>
      <c r="C144">
        <v>1.0886960837295598</v>
      </c>
      <c r="D144" s="2">
        <v>-3.2016194859100151E-3</v>
      </c>
      <c r="E144" s="2">
        <v>-7.9504024262775112E-4</v>
      </c>
    </row>
    <row r="145" spans="1:5" x14ac:dyDescent="0.35">
      <c r="A145" s="1">
        <v>44397</v>
      </c>
      <c r="B145">
        <v>1810.9000244140625</v>
      </c>
      <c r="C145">
        <v>1.0887316203060207</v>
      </c>
      <c r="D145" s="2">
        <v>1.2156445618103438E-3</v>
      </c>
      <c r="E145" s="2">
        <v>3.2640878407198398E-5</v>
      </c>
    </row>
    <row r="146" spans="1:5" x14ac:dyDescent="0.35">
      <c r="A146" s="1">
        <v>44398</v>
      </c>
      <c r="B146">
        <v>1802.9000244140625</v>
      </c>
      <c r="C146">
        <v>1.0855052270444352</v>
      </c>
      <c r="D146" s="2">
        <v>-4.4274796393197775E-3</v>
      </c>
      <c r="E146" s="2">
        <v>-2.9678419199936842E-3</v>
      </c>
    </row>
    <row r="147" spans="1:5" x14ac:dyDescent="0.35">
      <c r="A147" s="1">
        <v>44399</v>
      </c>
      <c r="B147">
        <v>1805</v>
      </c>
      <c r="C147">
        <v>1.0898351139742255</v>
      </c>
      <c r="D147" s="2">
        <v>1.1640986772757504E-3</v>
      </c>
      <c r="E147" s="2">
        <v>3.9808875570300538E-3</v>
      </c>
    </row>
    <row r="148" spans="1:5" x14ac:dyDescent="0.35">
      <c r="A148" s="1">
        <v>44400</v>
      </c>
      <c r="B148">
        <v>1801.4000244140625</v>
      </c>
      <c r="C148">
        <v>1.0879971984935417</v>
      </c>
      <c r="D148" s="2">
        <v>-1.9964378645119601E-3</v>
      </c>
      <c r="E148" s="2">
        <v>-1.687839698661374E-3</v>
      </c>
    </row>
    <row r="149" spans="1:5" x14ac:dyDescent="0.35">
      <c r="A149" s="1">
        <v>44403</v>
      </c>
      <c r="B149">
        <v>1798.699951171875</v>
      </c>
      <c r="C149">
        <v>1.0875121287770984</v>
      </c>
      <c r="D149" s="2">
        <v>-1.4999993148864131E-3</v>
      </c>
      <c r="E149" s="2">
        <v>-4.4593669942139398E-4</v>
      </c>
    </row>
    <row r="150" spans="1:5" x14ac:dyDescent="0.35">
      <c r="A150" s="1">
        <v>44404</v>
      </c>
      <c r="B150">
        <v>1799.5</v>
      </c>
      <c r="C150">
        <v>1.0923470281342311</v>
      </c>
      <c r="D150" s="2">
        <v>4.4469393150253208E-4</v>
      </c>
      <c r="E150" s="2">
        <v>4.4359813524668416E-3</v>
      </c>
    </row>
    <row r="151" spans="1:5" x14ac:dyDescent="0.35">
      <c r="A151" s="1">
        <v>44405</v>
      </c>
      <c r="B151">
        <v>1799.5</v>
      </c>
      <c r="C151">
        <v>1.0936133204650571</v>
      </c>
      <c r="D151" s="2">
        <v>0</v>
      </c>
      <c r="E151" s="2">
        <v>1.1585685653270599E-3</v>
      </c>
    </row>
    <row r="152" spans="1:5" x14ac:dyDescent="0.35">
      <c r="A152" s="1">
        <v>44406</v>
      </c>
      <c r="B152">
        <v>1831.199951171875</v>
      </c>
      <c r="C152">
        <v>1.0995052191910835</v>
      </c>
      <c r="D152" s="2">
        <v>1.7462614454720644E-2</v>
      </c>
      <c r="E152" s="2">
        <v>5.3730911434664149E-3</v>
      </c>
    </row>
    <row r="153" spans="1:5" x14ac:dyDescent="0.35">
      <c r="A153" s="1">
        <v>44407</v>
      </c>
      <c r="B153">
        <v>1812.5999755859375</v>
      </c>
      <c r="C153">
        <v>1.1040939859668613</v>
      </c>
      <c r="D153" s="2">
        <v>-1.0209197822209233E-2</v>
      </c>
      <c r="E153" s="2">
        <v>4.164798569471502E-3</v>
      </c>
    </row>
    <row r="154" spans="1:5" x14ac:dyDescent="0.35">
      <c r="A154" s="1">
        <v>44410</v>
      </c>
      <c r="B154">
        <v>1818.0999755859375</v>
      </c>
      <c r="C154">
        <v>1.103862396181555</v>
      </c>
      <c r="D154" s="2">
        <v>3.0297211452917027E-3</v>
      </c>
      <c r="E154" s="2">
        <v>-2.0977750106658939E-4</v>
      </c>
    </row>
    <row r="155" spans="1:5" x14ac:dyDescent="0.35">
      <c r="A155" s="1">
        <v>44411</v>
      </c>
      <c r="B155">
        <v>1810.0999755859375</v>
      </c>
      <c r="C155">
        <v>1.1046428376254533</v>
      </c>
      <c r="D155" s="2">
        <v>-4.4099074320683761E-3</v>
      </c>
      <c r="E155" s="2">
        <v>7.0675990659944683E-4</v>
      </c>
    </row>
    <row r="156" spans="1:5" x14ac:dyDescent="0.35">
      <c r="A156" s="1">
        <v>44412</v>
      </c>
      <c r="B156">
        <v>1810.5</v>
      </c>
      <c r="C156">
        <v>1.1064150207770815</v>
      </c>
      <c r="D156" s="2">
        <v>2.2097134087597074E-4</v>
      </c>
      <c r="E156" s="2">
        <v>1.6030186857274821E-3</v>
      </c>
    </row>
    <row r="157" spans="1:5" x14ac:dyDescent="0.35">
      <c r="A157" s="1">
        <v>44413</v>
      </c>
      <c r="B157">
        <v>1805.0999755859375</v>
      </c>
      <c r="C157">
        <v>1.1032656360753814</v>
      </c>
      <c r="D157" s="2">
        <v>-2.9870718363273446E-3</v>
      </c>
      <c r="E157" s="2">
        <v>-2.8505357319162871E-3</v>
      </c>
    </row>
    <row r="158" spans="1:5" x14ac:dyDescent="0.35">
      <c r="A158" s="1">
        <v>44414</v>
      </c>
      <c r="B158">
        <v>1760</v>
      </c>
      <c r="C158">
        <v>1.103143982337299</v>
      </c>
      <c r="D158" s="2">
        <v>-2.5302169337171061E-2</v>
      </c>
      <c r="E158" s="2">
        <v>-1.1027303107316479E-4</v>
      </c>
    </row>
    <row r="159" spans="1:5" x14ac:dyDescent="0.35">
      <c r="A159" s="1">
        <v>44417</v>
      </c>
      <c r="B159">
        <v>1723.4000244140625</v>
      </c>
      <c r="C159">
        <v>1.0921799891011255</v>
      </c>
      <c r="D159" s="2">
        <v>-2.1014711060311712E-2</v>
      </c>
      <c r="E159" s="2">
        <v>-9.9885798512768589E-3</v>
      </c>
    </row>
    <row r="160" spans="1:5" x14ac:dyDescent="0.35">
      <c r="A160" s="1">
        <v>44418</v>
      </c>
      <c r="B160">
        <v>1728.800048828125</v>
      </c>
      <c r="C160">
        <v>1.086248102554175</v>
      </c>
      <c r="D160" s="2">
        <v>3.1284564647309984E-3</v>
      </c>
      <c r="E160" s="2">
        <v>-5.4460381143463668E-3</v>
      </c>
    </row>
    <row r="161" spans="1:5" x14ac:dyDescent="0.35">
      <c r="A161" s="1">
        <v>44419</v>
      </c>
      <c r="B161">
        <v>1750.4000244140625</v>
      </c>
      <c r="C161">
        <v>1.0834705924861698</v>
      </c>
      <c r="D161" s="2">
        <v>1.2416792738750166E-2</v>
      </c>
      <c r="E161" s="2">
        <v>-2.5602504062315332E-3</v>
      </c>
    </row>
    <row r="162" spans="1:5" x14ac:dyDescent="0.35">
      <c r="A162" s="1">
        <v>44420</v>
      </c>
      <c r="B162">
        <v>1749</v>
      </c>
      <c r="C162">
        <v>1.0852343340513584</v>
      </c>
      <c r="D162" s="2">
        <v>-8.0015115676472927E-4</v>
      </c>
      <c r="E162" s="2">
        <v>1.6265393530092958E-3</v>
      </c>
    </row>
    <row r="163" spans="1:5" x14ac:dyDescent="0.35">
      <c r="A163" s="1">
        <v>44421</v>
      </c>
      <c r="B163">
        <v>1775.199951171875</v>
      </c>
      <c r="C163">
        <v>1.0833531948757285</v>
      </c>
      <c r="D163" s="2">
        <v>1.4868869094078072E-2</v>
      </c>
      <c r="E163" s="2">
        <v>-1.7348985202299849E-3</v>
      </c>
    </row>
    <row r="164" spans="1:5" x14ac:dyDescent="0.35">
      <c r="A164" s="1">
        <v>44424</v>
      </c>
      <c r="B164">
        <v>1786.9000244140625</v>
      </c>
      <c r="C164">
        <v>1.0924185811256044</v>
      </c>
      <c r="D164" s="2">
        <v>6.5692234347381586E-3</v>
      </c>
      <c r="E164" s="2">
        <v>8.3330786880558855E-3</v>
      </c>
    </row>
    <row r="165" spans="1:5" x14ac:dyDescent="0.35">
      <c r="A165" s="1">
        <v>44425</v>
      </c>
      <c r="B165">
        <v>1785</v>
      </c>
      <c r="C165">
        <v>1.0958903823254107</v>
      </c>
      <c r="D165" s="2">
        <v>-1.0638733336789578E-3</v>
      </c>
      <c r="E165" s="2">
        <v>3.1730474724543313E-3</v>
      </c>
    </row>
    <row r="166" spans="1:5" x14ac:dyDescent="0.35">
      <c r="A166" s="1">
        <v>44426</v>
      </c>
      <c r="B166">
        <v>1781.5999755859375</v>
      </c>
      <c r="C166">
        <v>1.0931948859181084</v>
      </c>
      <c r="D166" s="2">
        <v>-1.9065919740294643E-3</v>
      </c>
      <c r="E166" s="2">
        <v>-2.4626704210170876E-3</v>
      </c>
    </row>
    <row r="167" spans="1:5" x14ac:dyDescent="0.35">
      <c r="A167" s="1">
        <v>44427</v>
      </c>
      <c r="B167">
        <v>1780.199951171875</v>
      </c>
      <c r="C167">
        <v>1.0898470076396791</v>
      </c>
      <c r="D167" s="2">
        <v>-7.8613314332833992E-4</v>
      </c>
      <c r="E167" s="2">
        <v>-3.0671705503366913E-3</v>
      </c>
    </row>
    <row r="168" spans="1:5" x14ac:dyDescent="0.35">
      <c r="A168" s="1">
        <v>44428</v>
      </c>
      <c r="B168">
        <v>1781</v>
      </c>
      <c r="C168">
        <v>1.0882340369045203</v>
      </c>
      <c r="D168" s="2">
        <v>4.4931419328005123E-4</v>
      </c>
      <c r="E168" s="2">
        <v>-1.4810936756053017E-3</v>
      </c>
    </row>
    <row r="169" spans="1:5" x14ac:dyDescent="0.35">
      <c r="A169" s="1">
        <v>44431</v>
      </c>
      <c r="B169">
        <v>1803.199951171875</v>
      </c>
      <c r="C169">
        <v>1.0903698774007715</v>
      </c>
      <c r="D169" s="2">
        <v>1.2387832917253414E-2</v>
      </c>
      <c r="E169" s="2">
        <v>1.9607429937117458E-3</v>
      </c>
    </row>
    <row r="170" spans="1:5" x14ac:dyDescent="0.35">
      <c r="A170" s="1">
        <v>44432</v>
      </c>
      <c r="B170">
        <v>1805.5999755859375</v>
      </c>
      <c r="C170">
        <v>1.0961306700037776</v>
      </c>
      <c r="D170" s="2">
        <v>1.3300957751090471E-3</v>
      </c>
      <c r="E170" s="2">
        <v>5.2694301309745622E-3</v>
      </c>
    </row>
    <row r="171" spans="1:5" x14ac:dyDescent="0.35">
      <c r="A171" s="1">
        <v>44433</v>
      </c>
      <c r="B171">
        <v>1788.199951171875</v>
      </c>
      <c r="C171">
        <v>1.0951702939486174</v>
      </c>
      <c r="D171" s="2">
        <v>-9.6834329865471396E-3</v>
      </c>
      <c r="E171" s="2">
        <v>-8.7653511082942605E-4</v>
      </c>
    </row>
    <row r="172" spans="1:5" x14ac:dyDescent="0.35">
      <c r="A172" s="1">
        <v>44434</v>
      </c>
      <c r="B172">
        <v>1792.199951171875</v>
      </c>
      <c r="C172">
        <v>1.0945229801851943</v>
      </c>
      <c r="D172" s="2">
        <v>2.2343882098449877E-3</v>
      </c>
      <c r="E172" s="2">
        <v>-5.9123694622066169E-4</v>
      </c>
    </row>
    <row r="173" spans="1:5" x14ac:dyDescent="0.35">
      <c r="A173" s="1">
        <v>44435</v>
      </c>
      <c r="B173">
        <v>1816.5999755859375</v>
      </c>
      <c r="C173">
        <v>1.0893957966759213</v>
      </c>
      <c r="D173" s="2">
        <v>1.3522720423364637E-2</v>
      </c>
      <c r="E173" s="2">
        <v>-4.6954062426151156E-3</v>
      </c>
    </row>
    <row r="174" spans="1:5" x14ac:dyDescent="0.35">
      <c r="A174" s="1">
        <v>44438</v>
      </c>
      <c r="B174">
        <v>1809</v>
      </c>
      <c r="C174">
        <v>1.0974539226718685</v>
      </c>
      <c r="D174" s="2">
        <v>-4.1924022333912287E-3</v>
      </c>
      <c r="E174" s="2">
        <v>7.3696536122816667E-3</v>
      </c>
    </row>
    <row r="175" spans="1:5" x14ac:dyDescent="0.35">
      <c r="A175" s="1">
        <v>44439</v>
      </c>
      <c r="B175">
        <v>1815</v>
      </c>
      <c r="C175">
        <v>1.0902985216724992</v>
      </c>
      <c r="D175" s="2">
        <v>3.3112613036560051E-3</v>
      </c>
      <c r="E175" s="2">
        <v>-6.5413493490726702E-3</v>
      </c>
    </row>
    <row r="176" spans="1:5" x14ac:dyDescent="0.35">
      <c r="A176" s="1">
        <v>44440</v>
      </c>
      <c r="B176">
        <v>1813.0999755859375</v>
      </c>
      <c r="C176">
        <v>1.0925379518065228</v>
      </c>
      <c r="D176" s="2">
        <v>-1.0473937325582944E-3</v>
      </c>
      <c r="E176" s="2">
        <v>2.0518540412151321E-3</v>
      </c>
    </row>
    <row r="177" spans="1:5" x14ac:dyDescent="0.35">
      <c r="A177" s="1">
        <v>44441</v>
      </c>
      <c r="B177">
        <v>1808.699951171875</v>
      </c>
      <c r="C177">
        <v>1.0922790401401683</v>
      </c>
      <c r="D177" s="2">
        <v>-2.4297457991779466E-3</v>
      </c>
      <c r="E177" s="2">
        <v>-2.3700993586269544E-4</v>
      </c>
    </row>
    <row r="178" spans="1:5" x14ac:dyDescent="0.35">
      <c r="A178" s="1">
        <v>44442</v>
      </c>
      <c r="B178">
        <v>1830.9000244140625</v>
      </c>
      <c r="C178">
        <v>1.0935056883463528</v>
      </c>
      <c r="D178" s="2">
        <v>1.2199334385803619E-2</v>
      </c>
      <c r="E178" s="2">
        <v>1.1223871399325778E-3</v>
      </c>
    </row>
    <row r="179" spans="1:5" x14ac:dyDescent="0.35">
      <c r="A179" s="1">
        <v>44446</v>
      </c>
      <c r="B179">
        <v>1795.9000244140625</v>
      </c>
      <c r="C179">
        <v>1.0930395509481021</v>
      </c>
      <c r="D179" s="2">
        <v>-1.9301359933995132E-2</v>
      </c>
      <c r="E179" s="2">
        <v>-4.2636886439415949E-4</v>
      </c>
    </row>
    <row r="180" spans="1:5" x14ac:dyDescent="0.35">
      <c r="A180" s="1">
        <v>44447</v>
      </c>
      <c r="B180">
        <v>1790.699951171875</v>
      </c>
      <c r="C180">
        <v>1.0876067391205557</v>
      </c>
      <c r="D180" s="2">
        <v>-2.8997250439288581E-3</v>
      </c>
      <c r="E180" s="2">
        <v>-4.9827641399197943E-3</v>
      </c>
    </row>
    <row r="181" spans="1:5" x14ac:dyDescent="0.35">
      <c r="A181" s="1">
        <v>44448</v>
      </c>
      <c r="B181">
        <v>1797.4000244140625</v>
      </c>
      <c r="C181">
        <v>1.0847869336357792</v>
      </c>
      <c r="D181" s="2">
        <v>3.7346122321662177E-3</v>
      </c>
      <c r="E181" s="2">
        <v>-2.596036900485077E-3</v>
      </c>
    </row>
    <row r="182" spans="1:5" x14ac:dyDescent="0.35">
      <c r="A182" s="1">
        <v>44449</v>
      </c>
      <c r="B182">
        <v>1789.5999755859375</v>
      </c>
      <c r="C182">
        <v>1.0910955858185023</v>
      </c>
      <c r="D182" s="2">
        <v>-4.3490722735307699E-3</v>
      </c>
      <c r="E182" s="2">
        <v>5.7987228664926208E-3</v>
      </c>
    </row>
    <row r="183" spans="1:5" x14ac:dyDescent="0.35">
      <c r="A183" s="1">
        <v>44452</v>
      </c>
      <c r="B183">
        <v>1792</v>
      </c>
      <c r="C183">
        <v>1.0891585230766914</v>
      </c>
      <c r="D183" s="2">
        <v>1.3401970011455836E-3</v>
      </c>
      <c r="E183" s="2">
        <v>-1.7769151252469224E-3</v>
      </c>
    </row>
    <row r="184" spans="1:5" x14ac:dyDescent="0.35">
      <c r="A184" s="1">
        <v>44453</v>
      </c>
      <c r="B184">
        <v>1804.699951171875</v>
      </c>
      <c r="C184">
        <v>1.0845987091392217</v>
      </c>
      <c r="D184" s="2">
        <v>7.0620313762865556E-3</v>
      </c>
      <c r="E184" s="2">
        <v>-4.1953356685247153E-3</v>
      </c>
    </row>
    <row r="185" spans="1:5" x14ac:dyDescent="0.35">
      <c r="A185" s="1">
        <v>44454</v>
      </c>
      <c r="B185">
        <v>1792.4000244140625</v>
      </c>
      <c r="C185">
        <v>1.0868620047665318</v>
      </c>
      <c r="D185" s="2">
        <v>-6.8388283782960125E-3</v>
      </c>
      <c r="E185" s="2">
        <v>2.0845842914961805E-3</v>
      </c>
    </row>
    <row r="186" spans="1:5" x14ac:dyDescent="0.35">
      <c r="A186" s="1">
        <v>44455</v>
      </c>
      <c r="B186">
        <v>1754.5999755859375</v>
      </c>
      <c r="C186">
        <v>1.0872992804422867</v>
      </c>
      <c r="D186" s="2">
        <v>-2.1314620752901005E-2</v>
      </c>
      <c r="E186" s="2">
        <v>4.0224769397362233E-4</v>
      </c>
    </row>
    <row r="187" spans="1:5" x14ac:dyDescent="0.35">
      <c r="A187" s="1">
        <v>44456</v>
      </c>
      <c r="B187">
        <v>1749.4000244140625</v>
      </c>
      <c r="C187">
        <v>1.0783298847403149</v>
      </c>
      <c r="D187" s="2">
        <v>-2.9680108385332772E-3</v>
      </c>
      <c r="E187" s="2">
        <v>-8.2834560347226933E-3</v>
      </c>
    </row>
    <row r="188" spans="1:5" x14ac:dyDescent="0.35">
      <c r="A188" s="1">
        <v>44459</v>
      </c>
      <c r="B188">
        <v>1761.800048828125</v>
      </c>
      <c r="C188">
        <v>1.0729153530119135</v>
      </c>
      <c r="D188" s="2">
        <v>7.063155449170932E-3</v>
      </c>
      <c r="E188" s="2">
        <v>-5.0338688188482786E-3</v>
      </c>
    </row>
    <row r="189" spans="1:5" x14ac:dyDescent="0.35">
      <c r="A189" s="1">
        <v>44460</v>
      </c>
      <c r="B189">
        <v>1776</v>
      </c>
      <c r="C189">
        <v>1.0779695342758673</v>
      </c>
      <c r="D189" s="2">
        <v>8.0276031615123065E-3</v>
      </c>
      <c r="E189" s="2">
        <v>4.6996383640011234E-3</v>
      </c>
    </row>
    <row r="190" spans="1:5" x14ac:dyDescent="0.35">
      <c r="A190" s="1">
        <v>44461</v>
      </c>
      <c r="B190">
        <v>1776.699951171875</v>
      </c>
      <c r="C190">
        <v>1.0828370313492033</v>
      </c>
      <c r="D190" s="2">
        <v>3.9403900726307041E-4</v>
      </c>
      <c r="E190" s="2">
        <v>4.5052670460260461E-3</v>
      </c>
    </row>
    <row r="191" spans="1:5" x14ac:dyDescent="0.35">
      <c r="A191" s="1">
        <v>44462</v>
      </c>
      <c r="B191">
        <v>1747.699951171875</v>
      </c>
      <c r="C191">
        <v>1.0795638687616769</v>
      </c>
      <c r="D191" s="2">
        <v>-1.6457073725568219E-2</v>
      </c>
      <c r="E191" s="2">
        <v>-3.0273434377352066E-3</v>
      </c>
    </row>
    <row r="192" spans="1:5" x14ac:dyDescent="0.35">
      <c r="A192" s="1">
        <v>44463</v>
      </c>
      <c r="B192">
        <v>1749.699951171875</v>
      </c>
      <c r="C192">
        <v>1.0816657786681261</v>
      </c>
      <c r="D192" s="2">
        <v>1.1437069101939464E-3</v>
      </c>
      <c r="E192" s="2">
        <v>1.945106177543596E-3</v>
      </c>
    </row>
    <row r="193" spans="1:5" x14ac:dyDescent="0.35">
      <c r="A193" s="1">
        <v>44466</v>
      </c>
      <c r="B193">
        <v>1750</v>
      </c>
      <c r="C193">
        <v>1.0817008577609086</v>
      </c>
      <c r="D193" s="2">
        <v>1.7147117355570008E-4</v>
      </c>
      <c r="E193" s="2">
        <v>3.2430095014884591E-5</v>
      </c>
    </row>
    <row r="194" spans="1:5" x14ac:dyDescent="0.35">
      <c r="A194" s="1">
        <v>44467</v>
      </c>
      <c r="B194">
        <v>1735.800048828125</v>
      </c>
      <c r="C194">
        <v>1.0803931042481241</v>
      </c>
      <c r="D194" s="2">
        <v>-8.1473575773747878E-3</v>
      </c>
      <c r="E194" s="2">
        <v>-1.2097103042181085E-3</v>
      </c>
    </row>
    <row r="195" spans="1:5" x14ac:dyDescent="0.35">
      <c r="A195" s="1">
        <v>44468</v>
      </c>
      <c r="B195">
        <v>1721.5</v>
      </c>
      <c r="C195">
        <v>1.0762409070457237</v>
      </c>
      <c r="D195" s="2">
        <v>-8.2724265616064933E-3</v>
      </c>
      <c r="E195" s="2">
        <v>-3.850632338327482E-3</v>
      </c>
    </row>
    <row r="196" spans="1:5" x14ac:dyDescent="0.35">
      <c r="A196" s="1">
        <v>44469</v>
      </c>
      <c r="B196">
        <v>1755.300048828125</v>
      </c>
      <c r="C196">
        <v>1.0703773112789661</v>
      </c>
      <c r="D196" s="2">
        <v>1.9443806501259531E-2</v>
      </c>
      <c r="E196" s="2">
        <v>-5.4631143071913746E-3</v>
      </c>
    </row>
    <row r="197" spans="1:5" x14ac:dyDescent="0.35">
      <c r="A197" s="1">
        <v>44470</v>
      </c>
      <c r="B197">
        <v>1757</v>
      </c>
      <c r="C197">
        <v>1.0724090854642212</v>
      </c>
      <c r="D197" s="2">
        <v>9.6799890725909107E-4</v>
      </c>
      <c r="E197" s="2">
        <v>1.8963857501105978E-3</v>
      </c>
    </row>
    <row r="198" spans="1:5" x14ac:dyDescent="0.35">
      <c r="A198" s="1">
        <v>44473</v>
      </c>
      <c r="B198">
        <v>1766.199951171875</v>
      </c>
      <c r="C198">
        <v>1.0757661922143795</v>
      </c>
      <c r="D198" s="2">
        <v>5.2225092017402107E-3</v>
      </c>
      <c r="E198" s="2">
        <v>3.1255452178552976E-3</v>
      </c>
    </row>
    <row r="199" spans="1:5" x14ac:dyDescent="0.35">
      <c r="A199" s="1">
        <v>44474</v>
      </c>
      <c r="B199">
        <v>1759.5999755859375</v>
      </c>
      <c r="C199">
        <v>1.0811278124459105</v>
      </c>
      <c r="D199" s="2">
        <v>-3.7438217890526193E-3</v>
      </c>
      <c r="E199" s="2">
        <v>4.9716224010565224E-3</v>
      </c>
    </row>
    <row r="200" spans="1:5" x14ac:dyDescent="0.35">
      <c r="A200" s="1">
        <v>44475</v>
      </c>
      <c r="B200">
        <v>1760.5</v>
      </c>
      <c r="C200">
        <v>1.0771219533271996</v>
      </c>
      <c r="D200" s="2">
        <v>5.1136299532230712E-4</v>
      </c>
      <c r="E200" s="2">
        <v>-3.7121409971133104E-3</v>
      </c>
    </row>
    <row r="201" spans="1:5" x14ac:dyDescent="0.35">
      <c r="A201" s="1">
        <v>44476</v>
      </c>
      <c r="B201">
        <v>1757.9000244140625</v>
      </c>
      <c r="C201">
        <v>1.0779346967722063</v>
      </c>
      <c r="D201" s="2">
        <v>-1.477930901064451E-3</v>
      </c>
      <c r="E201" s="2">
        <v>7.542664676599203E-4</v>
      </c>
    </row>
    <row r="202" spans="1:5" x14ac:dyDescent="0.35">
      <c r="A202" s="1">
        <v>44477</v>
      </c>
      <c r="B202">
        <v>1756.300048828125</v>
      </c>
      <c r="C202">
        <v>1.0771219533271996</v>
      </c>
      <c r="D202" s="2">
        <v>-9.1057746465363759E-4</v>
      </c>
      <c r="E202" s="2">
        <v>-7.5426646765991911E-4</v>
      </c>
    </row>
    <row r="203" spans="1:5" x14ac:dyDescent="0.35">
      <c r="A203" s="1">
        <v>44480</v>
      </c>
      <c r="B203">
        <v>1754.5999755859375</v>
      </c>
      <c r="C203">
        <v>1.0777604045548395</v>
      </c>
      <c r="D203" s="2">
        <v>-9.68454449423833E-4</v>
      </c>
      <c r="E203" s="2">
        <v>5.925625071700664E-4</v>
      </c>
    </row>
    <row r="204" spans="1:5" x14ac:dyDescent="0.35">
      <c r="A204" s="1">
        <v>44481</v>
      </c>
      <c r="B204">
        <v>1758.300048828125</v>
      </c>
      <c r="C204">
        <v>1.0781089760911191</v>
      </c>
      <c r="D204" s="2">
        <v>2.10656414060376E-3</v>
      </c>
      <c r="E204" s="2">
        <v>3.2336981307535834E-4</v>
      </c>
    </row>
    <row r="205" spans="1:5" x14ac:dyDescent="0.35">
      <c r="A205" s="1">
        <v>44482</v>
      </c>
      <c r="B205">
        <v>1793.699951171875</v>
      </c>
      <c r="C205">
        <v>1.0747372542427778</v>
      </c>
      <c r="D205" s="2">
        <v>1.9933037412385866E-2</v>
      </c>
      <c r="E205" s="2">
        <v>-3.1323413234576863E-3</v>
      </c>
    </row>
    <row r="206" spans="1:5" x14ac:dyDescent="0.35">
      <c r="A206" s="1">
        <v>44483</v>
      </c>
      <c r="B206">
        <v>1796.699951171875</v>
      </c>
      <c r="C206">
        <v>1.0824853962812069</v>
      </c>
      <c r="D206" s="2">
        <v>1.6711234290114187E-3</v>
      </c>
      <c r="E206" s="2">
        <v>7.1834730225964101E-3</v>
      </c>
    </row>
    <row r="207" spans="1:5" x14ac:dyDescent="0.35">
      <c r="A207" s="1">
        <v>44484</v>
      </c>
      <c r="B207">
        <v>1767.199951171875</v>
      </c>
      <c r="C207">
        <v>1.081817897513953</v>
      </c>
      <c r="D207" s="2">
        <v>-1.6555276286279279E-2</v>
      </c>
      <c r="E207" s="2">
        <v>-6.1682555336066089E-4</v>
      </c>
    </row>
    <row r="208" spans="1:5" x14ac:dyDescent="0.35">
      <c r="A208" s="1">
        <v>44487</v>
      </c>
      <c r="B208">
        <v>1764.800048828125</v>
      </c>
      <c r="C208">
        <v>1.082801878527677</v>
      </c>
      <c r="D208" s="2">
        <v>-1.358948308654003E-3</v>
      </c>
      <c r="E208" s="2">
        <v>9.0914911929635181E-4</v>
      </c>
    </row>
    <row r="209" spans="1:5" x14ac:dyDescent="0.35">
      <c r="A209" s="1">
        <v>44488</v>
      </c>
      <c r="B209">
        <v>1769.699951171875</v>
      </c>
      <c r="C209">
        <v>1.0830974289662632</v>
      </c>
      <c r="D209" s="2">
        <v>2.7726159189181846E-3</v>
      </c>
      <c r="E209" s="2">
        <v>2.7291244740511674E-4</v>
      </c>
    </row>
    <row r="210" spans="1:5" x14ac:dyDescent="0.35">
      <c r="A210" s="1">
        <v>44489</v>
      </c>
      <c r="B210">
        <v>1784.0999755859375</v>
      </c>
      <c r="C210">
        <v>1.0834236443817615</v>
      </c>
      <c r="D210" s="2">
        <v>8.1040596104608609E-3</v>
      </c>
      <c r="E210" s="2">
        <v>3.0114216009859834E-4</v>
      </c>
    </row>
    <row r="211" spans="1:5" x14ac:dyDescent="0.35">
      <c r="A211" s="1">
        <v>44490</v>
      </c>
      <c r="B211">
        <v>1781.199951171875</v>
      </c>
      <c r="C211">
        <v>1.0883761470877604</v>
      </c>
      <c r="D211" s="2">
        <v>-1.6268056619152453E-3</v>
      </c>
      <c r="E211" s="2">
        <v>4.5607438677777281E-3</v>
      </c>
    </row>
    <row r="212" spans="1:5" x14ac:dyDescent="0.35">
      <c r="A212" s="1">
        <v>44491</v>
      </c>
      <c r="B212">
        <v>1795.5</v>
      </c>
      <c r="C212">
        <v>1.0891940898494028</v>
      </c>
      <c r="D212" s="2">
        <v>7.9962676316408798E-3</v>
      </c>
      <c r="E212" s="2">
        <v>7.5124355231923133E-4</v>
      </c>
    </row>
    <row r="213" spans="1:5" x14ac:dyDescent="0.35">
      <c r="A213" s="1">
        <v>44494</v>
      </c>
      <c r="B213">
        <v>1806</v>
      </c>
      <c r="C213">
        <v>1.0910443560365444</v>
      </c>
      <c r="D213" s="2">
        <v>5.8309203107931437E-3</v>
      </c>
      <c r="E213" s="2">
        <v>1.697306672880487E-3</v>
      </c>
    </row>
    <row r="214" spans="1:5" x14ac:dyDescent="0.35">
      <c r="A214" s="1">
        <v>44495</v>
      </c>
      <c r="B214">
        <v>1792.699951171875</v>
      </c>
      <c r="C214">
        <v>1.0870865154087039</v>
      </c>
      <c r="D214" s="2">
        <v>-7.3916189533362806E-3</v>
      </c>
      <c r="E214" s="2">
        <v>-3.6341663723826506E-3</v>
      </c>
    </row>
    <row r="215" spans="1:5" x14ac:dyDescent="0.35">
      <c r="A215" s="1">
        <v>44496</v>
      </c>
      <c r="B215">
        <v>1797.9000244140625</v>
      </c>
      <c r="C215">
        <v>1.0874293053660773</v>
      </c>
      <c r="D215" s="2">
        <v>2.8964946878651475E-3</v>
      </c>
      <c r="E215" s="2">
        <v>3.1527934350986049E-4</v>
      </c>
    </row>
    <row r="216" spans="1:5" x14ac:dyDescent="0.35">
      <c r="A216" s="1">
        <v>44497</v>
      </c>
      <c r="B216">
        <v>1801.5999755859375</v>
      </c>
      <c r="C216">
        <v>1.0893246391062057</v>
      </c>
      <c r="D216" s="2">
        <v>2.0558146825891866E-3</v>
      </c>
      <c r="E216" s="2">
        <v>1.74143175338805E-3</v>
      </c>
    </row>
    <row r="217" spans="1:5" x14ac:dyDescent="0.35">
      <c r="A217" s="1">
        <v>44498</v>
      </c>
      <c r="B217">
        <v>1783</v>
      </c>
      <c r="C217">
        <v>1.0970445958547457</v>
      </c>
      <c r="D217" s="2">
        <v>-1.03778065309083E-2</v>
      </c>
      <c r="E217" s="2">
        <v>7.0619259623988179E-3</v>
      </c>
    </row>
    <row r="218" spans="1:5" x14ac:dyDescent="0.35">
      <c r="A218" s="1">
        <v>44501</v>
      </c>
      <c r="B218">
        <v>1795.0999755859375</v>
      </c>
      <c r="C218">
        <v>1.0915362043850994</v>
      </c>
      <c r="D218" s="2">
        <v>6.763378213492534E-3</v>
      </c>
      <c r="E218" s="2">
        <v>-5.0337671795156573E-3</v>
      </c>
    </row>
    <row r="219" spans="1:5" x14ac:dyDescent="0.35">
      <c r="A219" s="1">
        <v>44502</v>
      </c>
      <c r="B219">
        <v>1788.699951171875</v>
      </c>
      <c r="C219">
        <v>1.0996986535436033</v>
      </c>
      <c r="D219" s="2">
        <v>-3.5716453755408732E-3</v>
      </c>
      <c r="E219" s="2">
        <v>7.4501251047828215E-3</v>
      </c>
    </row>
    <row r="220" spans="1:5" x14ac:dyDescent="0.35">
      <c r="A220" s="1">
        <v>44503</v>
      </c>
      <c r="B220">
        <v>1763.5999755859375</v>
      </c>
      <c r="C220">
        <v>1.0933741350777044</v>
      </c>
      <c r="D220" s="2">
        <v>-1.4131911060620329E-2</v>
      </c>
      <c r="E220" s="2">
        <v>-5.7677392485585809E-3</v>
      </c>
    </row>
    <row r="221" spans="1:5" x14ac:dyDescent="0.35">
      <c r="A221" s="1">
        <v>44504</v>
      </c>
      <c r="B221">
        <v>1793</v>
      </c>
      <c r="C221">
        <v>1.0973214177678492</v>
      </c>
      <c r="D221" s="2">
        <v>1.6533033964660989E-2</v>
      </c>
      <c r="E221" s="2">
        <v>3.6036837312339864E-3</v>
      </c>
    </row>
    <row r="222" spans="1:5" x14ac:dyDescent="0.35">
      <c r="A222" s="1">
        <v>44505</v>
      </c>
      <c r="B222">
        <v>1816.4000244140625</v>
      </c>
      <c r="C222">
        <v>1.0956743136482612</v>
      </c>
      <c r="D222" s="2">
        <v>1.2966339059569584E-2</v>
      </c>
      <c r="E222" s="2">
        <v>-1.5021501462224932E-3</v>
      </c>
    </row>
    <row r="223" spans="1:5" x14ac:dyDescent="0.35">
      <c r="A223" s="1">
        <v>44508</v>
      </c>
      <c r="B223">
        <v>1827.4000244140625</v>
      </c>
      <c r="C223">
        <v>1.0965272747925894</v>
      </c>
      <c r="D223" s="2">
        <v>6.0376712598167494E-3</v>
      </c>
      <c r="E223" s="2">
        <v>7.7817769302707194E-4</v>
      </c>
    </row>
    <row r="224" spans="1:5" x14ac:dyDescent="0.35">
      <c r="A224" s="1">
        <v>44509</v>
      </c>
      <c r="B224">
        <v>1830.199951171875</v>
      </c>
      <c r="C224">
        <v>1.0949544376378058</v>
      </c>
      <c r="D224" s="2">
        <v>1.5310188776383894E-3</v>
      </c>
      <c r="E224" s="2">
        <v>-1.4354100387136738E-3</v>
      </c>
    </row>
    <row r="225" spans="1:5" x14ac:dyDescent="0.35">
      <c r="A225" s="1">
        <v>44510</v>
      </c>
      <c r="B225">
        <v>1847.5999755859375</v>
      </c>
      <c r="C225">
        <v>1.0980564121591379</v>
      </c>
      <c r="D225" s="2">
        <v>9.4622625403595426E-3</v>
      </c>
      <c r="E225" s="2">
        <v>2.8289660221152602E-3</v>
      </c>
    </row>
    <row r="226" spans="1:5" x14ac:dyDescent="0.35">
      <c r="A226" s="1">
        <v>44511</v>
      </c>
      <c r="B226">
        <v>1863.199951171875</v>
      </c>
      <c r="C226">
        <v>1.0895382812207763</v>
      </c>
      <c r="D226" s="2">
        <v>8.4079270210200598E-3</v>
      </c>
      <c r="E226" s="2">
        <v>-7.7877076727300874E-3</v>
      </c>
    </row>
    <row r="227" spans="1:5" x14ac:dyDescent="0.35">
      <c r="A227" s="1">
        <v>44512</v>
      </c>
      <c r="B227">
        <v>1867.9000244140625</v>
      </c>
      <c r="C227">
        <v>1.0855288259933995</v>
      </c>
      <c r="D227" s="2">
        <v>2.519404872046127E-3</v>
      </c>
      <c r="E227" s="2">
        <v>-3.6867458070468889E-3</v>
      </c>
    </row>
    <row r="228" spans="1:5" x14ac:dyDescent="0.35">
      <c r="A228" s="1">
        <v>44515</v>
      </c>
      <c r="B228">
        <v>1866.0999755859375</v>
      </c>
      <c r="C228">
        <v>1.0856584277963288</v>
      </c>
      <c r="D228" s="2">
        <v>-9.6413977909137923E-4</v>
      </c>
      <c r="E228" s="2">
        <v>1.1938334923167563E-4</v>
      </c>
    </row>
    <row r="229" spans="1:5" x14ac:dyDescent="0.35">
      <c r="A229" s="1">
        <v>44516</v>
      </c>
      <c r="B229">
        <v>1853.5999755859375</v>
      </c>
      <c r="C229">
        <v>1.0806721659548915</v>
      </c>
      <c r="D229" s="2">
        <v>-6.7209975094860578E-3</v>
      </c>
      <c r="E229" s="2">
        <v>-4.6034254064069345E-3</v>
      </c>
    </row>
    <row r="230" spans="1:5" x14ac:dyDescent="0.35">
      <c r="A230" s="1">
        <v>44517</v>
      </c>
      <c r="B230">
        <v>1869.699951171875</v>
      </c>
      <c r="C230">
        <v>1.0749105010939253</v>
      </c>
      <c r="D230" s="2">
        <v>8.6482831087354786E-3</v>
      </c>
      <c r="E230" s="2">
        <v>-5.345820107333873E-3</v>
      </c>
    </row>
    <row r="231" spans="1:5" x14ac:dyDescent="0.35">
      <c r="A231" s="1">
        <v>44518</v>
      </c>
      <c r="B231">
        <v>1861</v>
      </c>
      <c r="C231">
        <v>1.0769711521549288</v>
      </c>
      <c r="D231" s="2">
        <v>-4.6639864134909483E-3</v>
      </c>
      <c r="E231" s="2">
        <v>1.9152091266442075E-3</v>
      </c>
    </row>
    <row r="232" spans="1:5" x14ac:dyDescent="0.35">
      <c r="A232" s="1">
        <v>44519</v>
      </c>
      <c r="B232">
        <v>1851.199951171875</v>
      </c>
      <c r="C232">
        <v>1.0803803028799488</v>
      </c>
      <c r="D232" s="2">
        <v>-5.2799265793109663E-3</v>
      </c>
      <c r="E232" s="2">
        <v>3.1604990043019158E-3</v>
      </c>
    </row>
    <row r="233" spans="1:5" x14ac:dyDescent="0.35">
      <c r="A233" s="1">
        <v>44522</v>
      </c>
      <c r="B233">
        <v>1806</v>
      </c>
      <c r="C233">
        <v>1.0760787571498474</v>
      </c>
      <c r="D233" s="2">
        <v>-2.471959608600904E-2</v>
      </c>
      <c r="E233" s="2">
        <v>-3.9894580101542555E-3</v>
      </c>
    </row>
    <row r="234" spans="1:5" x14ac:dyDescent="0.35">
      <c r="A234" s="1">
        <v>44523</v>
      </c>
      <c r="B234">
        <v>1783.5</v>
      </c>
      <c r="C234">
        <v>1.0726161433907635</v>
      </c>
      <c r="D234" s="2">
        <v>-1.2536729177984571E-2</v>
      </c>
      <c r="E234" s="2">
        <v>-3.2229952754990339E-3</v>
      </c>
    </row>
    <row r="235" spans="1:5" x14ac:dyDescent="0.35">
      <c r="A235" s="1">
        <v>44524</v>
      </c>
      <c r="B235">
        <v>1784.0999755859375</v>
      </c>
      <c r="C235">
        <v>1.0713634998811599</v>
      </c>
      <c r="D235" s="2">
        <v>3.3634689746586568E-4</v>
      </c>
      <c r="E235" s="2">
        <v>-1.1685219643470454E-3</v>
      </c>
    </row>
    <row r="236" spans="1:5" x14ac:dyDescent="0.35">
      <c r="A236" s="1">
        <v>44526</v>
      </c>
      <c r="B236">
        <v>1785.300048828125</v>
      </c>
      <c r="C236">
        <v>1.0691985001970825</v>
      </c>
      <c r="D236" s="2">
        <v>6.724229725988722E-4</v>
      </c>
      <c r="E236" s="2">
        <v>-2.0228336504498358E-3</v>
      </c>
    </row>
    <row r="237" spans="1:5" x14ac:dyDescent="0.35">
      <c r="A237" s="1">
        <v>44529</v>
      </c>
      <c r="B237">
        <v>1782.300048828125</v>
      </c>
      <c r="C237">
        <v>1.0818764268887422</v>
      </c>
      <c r="D237" s="2">
        <v>-1.6818032430744501E-3</v>
      </c>
      <c r="E237" s="2">
        <v>1.178766330308308E-2</v>
      </c>
    </row>
    <row r="238" spans="1:5" x14ac:dyDescent="0.35">
      <c r="A238" s="1">
        <v>44530</v>
      </c>
      <c r="B238">
        <v>1773.5999755859375</v>
      </c>
      <c r="C238">
        <v>1.0835762580951509</v>
      </c>
      <c r="D238" s="2">
        <v>-4.8933268890934195E-3</v>
      </c>
      <c r="E238" s="2">
        <v>1.5699549265938203E-3</v>
      </c>
    </row>
    <row r="239" spans="1:5" x14ac:dyDescent="0.35">
      <c r="A239" s="1">
        <v>44531</v>
      </c>
      <c r="B239">
        <v>1781.5999755859375</v>
      </c>
      <c r="C239">
        <v>1.0875475881024073</v>
      </c>
      <c r="D239" s="2">
        <v>4.5004577028668804E-3</v>
      </c>
      <c r="E239" s="2">
        <v>3.6583214203472882E-3</v>
      </c>
    </row>
    <row r="240" spans="1:5" x14ac:dyDescent="0.35">
      <c r="A240" s="1">
        <v>44532</v>
      </c>
      <c r="B240">
        <v>1760.699951171875</v>
      </c>
      <c r="C240">
        <v>1.086248102554175</v>
      </c>
      <c r="D240" s="2">
        <v>-1.1800393739534874E-2</v>
      </c>
      <c r="E240" s="2">
        <v>-1.1955913875551971E-3</v>
      </c>
    </row>
    <row r="241" spans="1:5" x14ac:dyDescent="0.35">
      <c r="A241" s="1">
        <v>44533</v>
      </c>
      <c r="B241">
        <v>1782</v>
      </c>
      <c r="C241">
        <v>1.0871928875158983</v>
      </c>
      <c r="D241" s="2">
        <v>1.2024899530579426E-2</v>
      </c>
      <c r="E241" s="2">
        <v>8.6939100306721257E-4</v>
      </c>
    </row>
    <row r="242" spans="1:5" x14ac:dyDescent="0.35">
      <c r="A242" s="1">
        <v>44536</v>
      </c>
      <c r="B242">
        <v>1777.5</v>
      </c>
      <c r="C242">
        <v>1.088743489898087</v>
      </c>
      <c r="D242" s="2">
        <v>-2.5284463533586377E-3</v>
      </c>
      <c r="E242" s="2">
        <v>1.425227925557827E-3</v>
      </c>
    </row>
    <row r="243" spans="1:5" x14ac:dyDescent="0.35">
      <c r="A243" s="1">
        <v>44537</v>
      </c>
      <c r="B243">
        <v>1782.5999755859375</v>
      </c>
      <c r="C243">
        <v>1.080497057024612</v>
      </c>
      <c r="D243" s="2">
        <v>2.8650763234604835E-3</v>
      </c>
      <c r="E243" s="2">
        <v>-7.6030964941314859E-3</v>
      </c>
    </row>
    <row r="244" spans="1:5" x14ac:dyDescent="0.35">
      <c r="A244" s="1">
        <v>44538</v>
      </c>
      <c r="B244">
        <v>1783.4000244140625</v>
      </c>
      <c r="C244">
        <v>1.0817828108297851</v>
      </c>
      <c r="D244" s="2">
        <v>4.4870938953922769E-4</v>
      </c>
      <c r="E244" s="2">
        <v>1.1892576681014216E-3</v>
      </c>
    </row>
    <row r="245" spans="1:5" x14ac:dyDescent="0.35">
      <c r="A245" s="1">
        <v>44539</v>
      </c>
      <c r="B245">
        <v>1774.5999755859375</v>
      </c>
      <c r="C245">
        <v>1.086956502021148</v>
      </c>
      <c r="D245" s="2">
        <v>-4.9466367466601191E-3</v>
      </c>
      <c r="E245" s="2">
        <v>4.7711598855427525E-3</v>
      </c>
    </row>
    <row r="246" spans="1:5" x14ac:dyDescent="0.35">
      <c r="A246" s="1">
        <v>44540</v>
      </c>
      <c r="B246">
        <v>1782.9000244140625</v>
      </c>
      <c r="C246">
        <v>1.0824971300678048</v>
      </c>
      <c r="D246" s="2">
        <v>4.6662340904448044E-3</v>
      </c>
      <c r="E246" s="2">
        <v>-4.1110611150843327E-3</v>
      </c>
    </row>
    <row r="247" spans="1:5" x14ac:dyDescent="0.35">
      <c r="A247" s="1">
        <v>44543</v>
      </c>
      <c r="B247">
        <v>1786.300048828125</v>
      </c>
      <c r="C247">
        <v>1.0856938365973188</v>
      </c>
      <c r="D247" s="2">
        <v>1.905203055442121E-3</v>
      </c>
      <c r="E247" s="2">
        <v>2.9487336631779846E-3</v>
      </c>
    </row>
    <row r="248" spans="1:5" x14ac:dyDescent="0.35">
      <c r="A248" s="1">
        <v>44544</v>
      </c>
      <c r="B248">
        <v>1770.4000244140625</v>
      </c>
      <c r="C248">
        <v>1.0841519026081345</v>
      </c>
      <c r="D248" s="2">
        <v>-8.9409452626436417E-3</v>
      </c>
      <c r="E248" s="2">
        <v>-1.4212385893361903E-3</v>
      </c>
    </row>
    <row r="249" spans="1:5" x14ac:dyDescent="0.35">
      <c r="A249" s="1">
        <v>44545</v>
      </c>
      <c r="B249">
        <v>1762.5999755859375</v>
      </c>
      <c r="C249">
        <v>1.0822510532088843</v>
      </c>
      <c r="D249" s="2">
        <v>-4.41554571258348E-3</v>
      </c>
      <c r="E249" s="2">
        <v>-1.7548442518030868E-3</v>
      </c>
    </row>
    <row r="250" spans="1:5" x14ac:dyDescent="0.35">
      <c r="A250" s="1">
        <v>44546</v>
      </c>
      <c r="B250">
        <v>1796.5999755859375</v>
      </c>
      <c r="C250">
        <v>1.0817359391290386</v>
      </c>
      <c r="D250" s="2">
        <v>1.9105998391674383E-2</v>
      </c>
      <c r="E250" s="2">
        <v>-4.7607873004669828E-4</v>
      </c>
    </row>
    <row r="251" spans="1:5" x14ac:dyDescent="0.35">
      <c r="A251" s="1">
        <v>44547</v>
      </c>
      <c r="B251">
        <v>1803.800048828125</v>
      </c>
      <c r="C251">
        <v>1.088328772902889</v>
      </c>
      <c r="D251" s="2">
        <v>3.9996015951266157E-3</v>
      </c>
      <c r="E251" s="2">
        <v>6.0761819877802646E-3</v>
      </c>
    </row>
    <row r="252" spans="1:5" x14ac:dyDescent="0.35">
      <c r="A252" s="1">
        <v>44550</v>
      </c>
      <c r="B252">
        <v>1793.699951171875</v>
      </c>
      <c r="C252">
        <v>1.0830833048637865</v>
      </c>
      <c r="D252" s="2">
        <v>-5.6150794682417494E-3</v>
      </c>
      <c r="E252" s="2">
        <v>-4.8313982373920988E-3</v>
      </c>
    </row>
    <row r="253" spans="1:5" x14ac:dyDescent="0.35">
      <c r="A253" s="1">
        <v>44551</v>
      </c>
      <c r="B253">
        <v>1787.9000244140625</v>
      </c>
      <c r="C253">
        <v>1.0849281448866444</v>
      </c>
      <c r="D253" s="2">
        <v>-3.2387379200195265E-3</v>
      </c>
      <c r="E253" s="2">
        <v>1.7018733626605206E-3</v>
      </c>
    </row>
    <row r="254" spans="1:5" x14ac:dyDescent="0.35">
      <c r="A254" s="1">
        <v>44552</v>
      </c>
      <c r="B254">
        <v>1801.5999755859375</v>
      </c>
      <c r="C254">
        <v>1.083400136874612</v>
      </c>
      <c r="D254" s="2">
        <v>7.6333849811133433E-3</v>
      </c>
      <c r="E254" s="2">
        <v>-1.4093883087890507E-3</v>
      </c>
    </row>
    <row r="255" spans="1:5" x14ac:dyDescent="0.35">
      <c r="A255" s="1">
        <v>44553</v>
      </c>
      <c r="B255">
        <v>1811.199951171875</v>
      </c>
      <c r="C255">
        <v>1.0876185841977544</v>
      </c>
      <c r="D255" s="2">
        <v>5.3144366558234811E-3</v>
      </c>
      <c r="E255" s="2">
        <v>3.8861503967421258E-3</v>
      </c>
    </row>
    <row r="256" spans="1:5" x14ac:dyDescent="0.35">
      <c r="A256" s="1">
        <v>44557</v>
      </c>
      <c r="B256">
        <v>1808.0999755859375</v>
      </c>
      <c r="C256">
        <v>1.0883986706877065</v>
      </c>
      <c r="D256" s="2">
        <v>-1.713025395370446E-3</v>
      </c>
      <c r="E256" s="2">
        <v>7.1698560442826672E-4</v>
      </c>
    </row>
    <row r="257" spans="1:5" x14ac:dyDescent="0.35">
      <c r="A257" s="1">
        <v>44558</v>
      </c>
      <c r="B257">
        <v>1810.199951171875</v>
      </c>
      <c r="C257">
        <v>1.0903223294969238</v>
      </c>
      <c r="D257" s="2">
        <v>1.1607527646842581E-3</v>
      </c>
      <c r="E257" s="2">
        <v>1.7658610798973178E-3</v>
      </c>
    </row>
    <row r="258" spans="1:5" x14ac:dyDescent="0.35">
      <c r="A258" s="1">
        <v>44559</v>
      </c>
      <c r="B258">
        <v>1805.0999755859375</v>
      </c>
      <c r="C258">
        <v>1.0906315004671707</v>
      </c>
      <c r="D258" s="2">
        <v>-2.8213310498173137E-3</v>
      </c>
      <c r="E258" s="2">
        <v>2.835190438882261E-4</v>
      </c>
    </row>
    <row r="259" spans="1:5" x14ac:dyDescent="0.35">
      <c r="A259" s="1">
        <v>44560</v>
      </c>
      <c r="B259">
        <v>1812.699951171875</v>
      </c>
      <c r="C259">
        <v>1.0945708951754882</v>
      </c>
      <c r="D259" s="2">
        <v>4.2014411628216366E-3</v>
      </c>
      <c r="E259" s="2">
        <v>3.6055232080862282E-3</v>
      </c>
    </row>
    <row r="260" spans="1:5" x14ac:dyDescent="0.35">
      <c r="A260" s="1">
        <v>44561</v>
      </c>
      <c r="B260">
        <v>1827.5</v>
      </c>
      <c r="C260">
        <v>1.0944511512627222</v>
      </c>
      <c r="D260" s="2">
        <v>8.1314930917433803E-3</v>
      </c>
      <c r="E260" s="2">
        <v>-1.094040264056392E-4</v>
      </c>
    </row>
    <row r="261" spans="1:5" x14ac:dyDescent="0.35">
      <c r="A261" s="1">
        <v>44564</v>
      </c>
      <c r="B261">
        <v>1799.4000244140625</v>
      </c>
      <c r="C261">
        <v>1.0965212548010177</v>
      </c>
      <c r="D261" s="2">
        <v>-1.5495623073024625E-2</v>
      </c>
      <c r="E261" s="2">
        <v>1.8896670250772188E-3</v>
      </c>
    </row>
    <row r="262" spans="1:5" x14ac:dyDescent="0.35">
      <c r="A262" s="1">
        <v>44565</v>
      </c>
      <c r="B262">
        <v>1814</v>
      </c>
      <c r="C262">
        <v>1.0889331558644595</v>
      </c>
      <c r="D262" s="2">
        <v>8.0810621241728595E-3</v>
      </c>
      <c r="E262" s="2">
        <v>-6.9442120524947394E-3</v>
      </c>
    </row>
    <row r="263" spans="1:5" x14ac:dyDescent="0.35">
      <c r="A263" s="1">
        <v>44566</v>
      </c>
      <c r="B263">
        <v>1824.5999755859375</v>
      </c>
      <c r="C263">
        <v>1.0914528379327575</v>
      </c>
      <c r="D263" s="2">
        <v>5.8264198557907406E-3</v>
      </c>
      <c r="E263" s="2">
        <v>2.3112267250805997E-3</v>
      </c>
    </row>
    <row r="264" spans="1:5" x14ac:dyDescent="0.35">
      <c r="A264" s="1">
        <v>44567</v>
      </c>
      <c r="B264">
        <v>1788.699951171875</v>
      </c>
      <c r="C264">
        <v>1.0900489563875579</v>
      </c>
      <c r="D264" s="2">
        <v>-1.9871699829780518E-2</v>
      </c>
      <c r="E264" s="2">
        <v>-1.287078234505215E-3</v>
      </c>
    </row>
    <row r="265" spans="1:5" x14ac:dyDescent="0.35">
      <c r="A265" s="1">
        <v>44568</v>
      </c>
      <c r="B265">
        <v>1797</v>
      </c>
      <c r="C265">
        <v>1.0853049582279088</v>
      </c>
      <c r="D265" s="2">
        <v>4.6295360824668225E-3</v>
      </c>
      <c r="E265" s="2">
        <v>-4.361594357953625E-3</v>
      </c>
    </row>
    <row r="266" spans="1:5" x14ac:dyDescent="0.35">
      <c r="A266" s="1">
        <v>44571</v>
      </c>
      <c r="B266">
        <v>1798.4000244140625</v>
      </c>
      <c r="C266">
        <v>1.088328772902889</v>
      </c>
      <c r="D266" s="2">
        <v>7.7878649124794494E-4</v>
      </c>
      <c r="E266" s="2">
        <v>2.7822687716794617E-3</v>
      </c>
    </row>
    <row r="267" spans="1:5" x14ac:dyDescent="0.35">
      <c r="A267" s="1">
        <v>44572</v>
      </c>
      <c r="B267">
        <v>1818.5999755859375</v>
      </c>
      <c r="C267">
        <v>1.0785159395172295</v>
      </c>
      <c r="D267" s="2">
        <v>1.1169566592358682E-2</v>
      </c>
      <c r="E267" s="2">
        <v>-9.0573176862250807E-3</v>
      </c>
    </row>
    <row r="268" spans="1:5" x14ac:dyDescent="0.35">
      <c r="A268" s="1">
        <v>44573</v>
      </c>
      <c r="B268">
        <v>1827.199951171875</v>
      </c>
      <c r="C268">
        <v>1.0828370313492033</v>
      </c>
      <c r="D268" s="2">
        <v>4.7177528716020869E-3</v>
      </c>
      <c r="E268" s="2">
        <v>3.9985117168616366E-3</v>
      </c>
    </row>
    <row r="269" spans="1:5" x14ac:dyDescent="0.35">
      <c r="A269" s="1">
        <v>44574</v>
      </c>
      <c r="B269">
        <v>1821.199951171875</v>
      </c>
      <c r="C269">
        <v>1.0939243609000202</v>
      </c>
      <c r="D269" s="2">
        <v>-3.2891160891035777E-3</v>
      </c>
      <c r="E269" s="2">
        <v>1.0187083870544792E-2</v>
      </c>
    </row>
    <row r="270" spans="1:5" x14ac:dyDescent="0.35">
      <c r="A270" s="1">
        <v>44575</v>
      </c>
      <c r="B270">
        <v>1816.5</v>
      </c>
      <c r="C270">
        <v>1.0976466358711956</v>
      </c>
      <c r="D270" s="2">
        <v>-2.5840249884074937E-3</v>
      </c>
      <c r="E270" s="2">
        <v>3.3969043721818605E-3</v>
      </c>
    </row>
    <row r="271" spans="1:5" x14ac:dyDescent="0.35">
      <c r="A271" s="1">
        <v>44579</v>
      </c>
      <c r="B271">
        <v>1812.300048828125</v>
      </c>
      <c r="C271">
        <v>1.0941996815337511</v>
      </c>
      <c r="D271" s="2">
        <v>-2.3147889058235732E-3</v>
      </c>
      <c r="E271" s="2">
        <v>-3.1452544384079585E-3</v>
      </c>
    </row>
    <row r="272" spans="1:5" x14ac:dyDescent="0.35">
      <c r="A272" s="1">
        <v>44580</v>
      </c>
      <c r="B272">
        <v>1843.0999755859375</v>
      </c>
      <c r="C272">
        <v>1.0904293358306878</v>
      </c>
      <c r="D272" s="2">
        <v>1.6852139555948643E-2</v>
      </c>
      <c r="E272" s="2">
        <v>-3.4517068266575195E-3</v>
      </c>
    </row>
    <row r="273" spans="1:5" x14ac:dyDescent="0.35">
      <c r="A273" s="1">
        <v>44581</v>
      </c>
      <c r="B273">
        <v>1842.5</v>
      </c>
      <c r="C273">
        <v>1.0921799891011255</v>
      </c>
      <c r="D273" s="2">
        <v>-3.2557824789001627E-4</v>
      </c>
      <c r="E273" s="2">
        <v>1.6041841532231397E-3</v>
      </c>
    </row>
    <row r="274" spans="1:5" x14ac:dyDescent="0.35">
      <c r="A274" s="1">
        <v>44582</v>
      </c>
      <c r="B274">
        <v>1831.800048828125</v>
      </c>
      <c r="C274">
        <v>1.0907028288801806</v>
      </c>
      <c r="D274" s="2">
        <v>-5.8242284387881402E-3</v>
      </c>
      <c r="E274" s="2">
        <v>-1.3534033382398751E-3</v>
      </c>
    </row>
    <row r="275" spans="1:5" x14ac:dyDescent="0.35">
      <c r="A275" s="1">
        <v>44585</v>
      </c>
      <c r="B275">
        <v>1841.699951171875</v>
      </c>
      <c r="C275">
        <v>1.0957223294977558</v>
      </c>
      <c r="D275" s="2">
        <v>5.3899149643273853E-3</v>
      </c>
      <c r="E275" s="2">
        <v>4.5915218426707191E-3</v>
      </c>
    </row>
    <row r="276" spans="1:5" x14ac:dyDescent="0.35">
      <c r="A276" s="1">
        <v>44586</v>
      </c>
      <c r="B276">
        <v>1852.699951171875</v>
      </c>
      <c r="C276">
        <v>1.0939842076280566</v>
      </c>
      <c r="D276" s="2">
        <v>5.9549766118189669E-3</v>
      </c>
      <c r="E276" s="2">
        <v>-1.5875389740826072E-3</v>
      </c>
    </row>
    <row r="277" spans="1:5" x14ac:dyDescent="0.35">
      <c r="A277" s="1">
        <v>44587</v>
      </c>
      <c r="B277">
        <v>1829.9000244140625</v>
      </c>
      <c r="C277">
        <v>1.0896260968617524</v>
      </c>
      <c r="D277" s="2">
        <v>-1.238267432546163E-2</v>
      </c>
      <c r="E277" s="2">
        <v>-3.9916614644605409E-3</v>
      </c>
    </row>
    <row r="278" spans="1:5" x14ac:dyDescent="0.35">
      <c r="A278" s="1">
        <v>44588</v>
      </c>
      <c r="B278">
        <v>1793.300048828125</v>
      </c>
      <c r="C278">
        <v>1.0823108164145285</v>
      </c>
      <c r="D278" s="2">
        <v>-2.0203808692925051E-2</v>
      </c>
      <c r="E278" s="2">
        <v>-6.7362068062794406E-3</v>
      </c>
    </row>
    <row r="279" spans="1:5" x14ac:dyDescent="0.35">
      <c r="A279" s="1">
        <v>44589</v>
      </c>
      <c r="B279">
        <v>1784.9000244140625</v>
      </c>
      <c r="C279">
        <v>1.0742638646735658</v>
      </c>
      <c r="D279" s="2">
        <v>-4.6951202688890054E-3</v>
      </c>
      <c r="E279" s="2">
        <v>-7.4627502194365754E-3</v>
      </c>
    </row>
    <row r="280" spans="1:5" x14ac:dyDescent="0.35">
      <c r="A280" s="1">
        <v>44592</v>
      </c>
      <c r="B280">
        <v>1795</v>
      </c>
      <c r="C280">
        <v>1.0739639025516252</v>
      </c>
      <c r="D280" s="2">
        <v>5.6426170088050252E-3</v>
      </c>
      <c r="E280" s="2">
        <v>-2.792647301803959E-4</v>
      </c>
    </row>
    <row r="281" spans="1:5" x14ac:dyDescent="0.35">
      <c r="A281" s="1">
        <v>44593</v>
      </c>
      <c r="B281">
        <v>1800.300048828125</v>
      </c>
      <c r="C281">
        <v>1.0786555920889149</v>
      </c>
      <c r="D281" s="2">
        <v>2.9483228634129628E-3</v>
      </c>
      <c r="E281" s="2">
        <v>4.3590583268619375E-3</v>
      </c>
    </row>
    <row r="282" spans="1:5" x14ac:dyDescent="0.35">
      <c r="A282" s="1">
        <v>44594</v>
      </c>
      <c r="B282">
        <v>1809.199951171875</v>
      </c>
      <c r="C282">
        <v>1.0858470905957092</v>
      </c>
      <c r="D282" s="2">
        <v>4.9313868291021275E-3</v>
      </c>
      <c r="E282" s="2">
        <v>6.6449674804084239E-3</v>
      </c>
    </row>
    <row r="283" spans="1:5" x14ac:dyDescent="0.35">
      <c r="A283" s="1">
        <v>44595</v>
      </c>
      <c r="B283">
        <v>1803</v>
      </c>
      <c r="C283">
        <v>1.088186675089946</v>
      </c>
      <c r="D283" s="2">
        <v>-3.4327874115770577E-3</v>
      </c>
      <c r="E283" s="2">
        <v>2.1522990436672025E-3</v>
      </c>
    </row>
    <row r="284" spans="1:5" x14ac:dyDescent="0.35">
      <c r="A284" s="1">
        <v>44596</v>
      </c>
      <c r="B284">
        <v>1806.5999755859375</v>
      </c>
      <c r="C284">
        <v>1.0865195723194876</v>
      </c>
      <c r="D284" s="2">
        <v>1.9946679986083213E-3</v>
      </c>
      <c r="E284" s="2">
        <v>-1.5331754336988922E-3</v>
      </c>
    </row>
    <row r="285" spans="1:5" x14ac:dyDescent="0.35">
      <c r="A285" s="1">
        <v>44599</v>
      </c>
      <c r="B285">
        <v>1820.5999755859375</v>
      </c>
      <c r="C285">
        <v>1.080940855507573</v>
      </c>
      <c r="D285" s="2">
        <v>7.7194914593634936E-3</v>
      </c>
      <c r="E285" s="2">
        <v>-5.1477102506241202E-3</v>
      </c>
    </row>
    <row r="286" spans="1:5" x14ac:dyDescent="0.35">
      <c r="A286" s="1">
        <v>44600</v>
      </c>
      <c r="B286">
        <v>1826.5999755859375</v>
      </c>
      <c r="C286">
        <v>1.0833649474832736</v>
      </c>
      <c r="D286" s="2">
        <v>3.290198230438897E-3</v>
      </c>
      <c r="E286" s="2">
        <v>2.2400651386723204E-3</v>
      </c>
    </row>
    <row r="287" spans="1:5" x14ac:dyDescent="0.35">
      <c r="A287" s="1">
        <v>44601</v>
      </c>
      <c r="B287">
        <v>1835.199951171875</v>
      </c>
      <c r="C287">
        <v>1.0810810671486588</v>
      </c>
      <c r="D287" s="2">
        <v>4.697138876945367E-3</v>
      </c>
      <c r="E287" s="2">
        <v>-2.1103609577729702E-3</v>
      </c>
    </row>
    <row r="288" spans="1:5" x14ac:dyDescent="0.35">
      <c r="A288" s="1">
        <v>44602</v>
      </c>
      <c r="B288">
        <v>1836.199951171875</v>
      </c>
      <c r="C288">
        <v>1.0819934348602485</v>
      </c>
      <c r="D288" s="2">
        <v>5.4475134898338722E-4</v>
      </c>
      <c r="E288" s="2">
        <v>8.4358422684780582E-4</v>
      </c>
    </row>
    <row r="289" spans="1:5" x14ac:dyDescent="0.35">
      <c r="A289" s="1">
        <v>44603</v>
      </c>
      <c r="B289">
        <v>1840.800048828125</v>
      </c>
      <c r="C289">
        <v>1.0803219352690918</v>
      </c>
      <c r="D289" s="2">
        <v>2.502094128990784E-3</v>
      </c>
      <c r="E289" s="2">
        <v>-1.5460278802826505E-3</v>
      </c>
    </row>
    <row r="290" spans="1:5" x14ac:dyDescent="0.35">
      <c r="A290" s="1">
        <v>44606</v>
      </c>
      <c r="B290">
        <v>1868</v>
      </c>
      <c r="C290">
        <v>1.0814084388477749</v>
      </c>
      <c r="D290" s="2">
        <v>1.4668053542140463E-2</v>
      </c>
      <c r="E290" s="2">
        <v>1.0052166386533144E-3</v>
      </c>
    </row>
    <row r="291" spans="1:5" x14ac:dyDescent="0.35">
      <c r="A291" s="1">
        <v>44607</v>
      </c>
      <c r="B291">
        <v>1854.800048828125</v>
      </c>
      <c r="C291">
        <v>1.0816540628974673</v>
      </c>
      <c r="D291" s="2">
        <v>-7.0914399462048017E-3</v>
      </c>
      <c r="E291" s="2">
        <v>2.2710767770222186E-4</v>
      </c>
    </row>
    <row r="292" spans="1:5" x14ac:dyDescent="0.35">
      <c r="A292" s="1">
        <v>44608</v>
      </c>
      <c r="B292">
        <v>1870.199951171875</v>
      </c>
      <c r="C292">
        <v>1.0805670659481357</v>
      </c>
      <c r="D292" s="2">
        <v>8.2684510502585538E-3</v>
      </c>
      <c r="E292" s="2">
        <v>-1.0054448422527329E-3</v>
      </c>
    </row>
    <row r="293" spans="1:5" x14ac:dyDescent="0.35">
      <c r="A293" s="1">
        <v>44609</v>
      </c>
      <c r="B293">
        <v>1900.699951171875</v>
      </c>
      <c r="C293">
        <v>1.0850694630834721</v>
      </c>
      <c r="D293" s="2">
        <v>1.6176862774401283E-2</v>
      </c>
      <c r="E293" s="2">
        <v>4.1580418153488253E-3</v>
      </c>
    </row>
    <row r="294" spans="1:5" x14ac:dyDescent="0.35">
      <c r="A294" s="1">
        <v>44610</v>
      </c>
      <c r="B294">
        <v>1898.5999755859375</v>
      </c>
      <c r="C294">
        <v>1.0874293053660773</v>
      </c>
      <c r="D294" s="2">
        <v>-1.1054540785265011E-3</v>
      </c>
      <c r="E294" s="2">
        <v>2.172469089517117E-3</v>
      </c>
    </row>
    <row r="295" spans="1:5" x14ac:dyDescent="0.35">
      <c r="A295" s="1">
        <v>44614</v>
      </c>
      <c r="B295">
        <v>1906.0999755859375</v>
      </c>
      <c r="C295">
        <v>1.0920488256769614</v>
      </c>
      <c r="D295" s="2">
        <v>3.9424973379259039E-3</v>
      </c>
      <c r="E295" s="2">
        <v>4.239113173788972E-3</v>
      </c>
    </row>
    <row r="296" spans="1:5" x14ac:dyDescent="0.35">
      <c r="A296" s="1">
        <v>44615</v>
      </c>
      <c r="B296">
        <v>1909.199951171875</v>
      </c>
      <c r="C296">
        <v>1.0851165539361698</v>
      </c>
      <c r="D296" s="2">
        <v>1.6250236299235957E-3</v>
      </c>
      <c r="E296" s="2">
        <v>-6.3681842759116224E-3</v>
      </c>
    </row>
    <row r="297" spans="1:5" x14ac:dyDescent="0.35">
      <c r="A297" s="1">
        <v>44616</v>
      </c>
      <c r="B297">
        <v>1925.0999755859375</v>
      </c>
      <c r="C297">
        <v>1.0900132629458605</v>
      </c>
      <c r="D297" s="2">
        <v>8.2936211860425418E-3</v>
      </c>
      <c r="E297" s="2">
        <v>4.5024598016312773E-3</v>
      </c>
    </row>
    <row r="298" spans="1:5" x14ac:dyDescent="0.35">
      <c r="A298" s="1">
        <v>44617</v>
      </c>
      <c r="B298">
        <v>1886.5</v>
      </c>
      <c r="C298">
        <v>1.0801002097596231</v>
      </c>
      <c r="D298" s="2">
        <v>-2.0254641338243038E-2</v>
      </c>
      <c r="E298" s="2">
        <v>-9.1360403610998495E-3</v>
      </c>
    </row>
    <row r="299" spans="1:5" x14ac:dyDescent="0.35">
      <c r="A299" s="1">
        <v>44620</v>
      </c>
      <c r="B299">
        <v>1899.4000244140625</v>
      </c>
      <c r="C299">
        <v>1.0792178270569426</v>
      </c>
      <c r="D299" s="2">
        <v>6.8147992580523927E-3</v>
      </c>
      <c r="E299" s="2">
        <v>-8.1727910085601784E-4</v>
      </c>
    </row>
    <row r="300" spans="1:5" x14ac:dyDescent="0.35">
      <c r="A300" s="1">
        <v>44621</v>
      </c>
      <c r="B300">
        <v>1942.4000244140625</v>
      </c>
      <c r="C300">
        <v>1.0899182334729804</v>
      </c>
      <c r="D300" s="2">
        <v>2.2386274771780384E-2</v>
      </c>
      <c r="E300" s="2">
        <v>9.8661337195631339E-3</v>
      </c>
    </row>
    <row r="301" spans="1:5" x14ac:dyDescent="0.35">
      <c r="A301" s="1">
        <v>44622</v>
      </c>
      <c r="B301">
        <v>1920.9000244140625</v>
      </c>
      <c r="C301">
        <v>1.0886604788305405</v>
      </c>
      <c r="D301" s="2">
        <v>-1.1130495531632012E-2</v>
      </c>
      <c r="E301" s="2">
        <v>-1.154656267479864E-3</v>
      </c>
    </row>
    <row r="302" spans="1:5" x14ac:dyDescent="0.35">
      <c r="A302" s="1">
        <v>44623</v>
      </c>
      <c r="B302">
        <v>1934.4000244140625</v>
      </c>
      <c r="C302">
        <v>1.0863424930828063</v>
      </c>
      <c r="D302" s="2">
        <v>7.0033745789622242E-3</v>
      </c>
      <c r="E302" s="2">
        <v>-2.1314790418745515E-3</v>
      </c>
    </row>
    <row r="303" spans="1:5" x14ac:dyDescent="0.35">
      <c r="A303" s="1">
        <v>44624</v>
      </c>
      <c r="B303">
        <v>1965.0999755859375</v>
      </c>
      <c r="C303">
        <v>1.0894432638019425</v>
      </c>
      <c r="D303" s="2">
        <v>1.5745908688366235E-2</v>
      </c>
      <c r="E303" s="2">
        <v>2.8502556453777346E-3</v>
      </c>
    </row>
    <row r="304" spans="1:5" x14ac:dyDescent="0.35">
      <c r="A304" s="1">
        <v>44627</v>
      </c>
      <c r="B304">
        <v>1993.9000244140625</v>
      </c>
      <c r="C304">
        <v>1.0867675239411927</v>
      </c>
      <c r="D304" s="2">
        <v>1.4549409887335826E-2</v>
      </c>
      <c r="E304" s="2">
        <v>-2.4590827544735154E-3</v>
      </c>
    </row>
    <row r="305" spans="1:5" x14ac:dyDescent="0.35">
      <c r="A305" s="1">
        <v>44628</v>
      </c>
      <c r="B305">
        <v>2040.0999755859375</v>
      </c>
      <c r="C305">
        <v>1.0805553739660805</v>
      </c>
      <c r="D305" s="2">
        <v>2.2906282220362194E-2</v>
      </c>
      <c r="E305" s="2">
        <v>-5.7325717301007521E-3</v>
      </c>
    </row>
    <row r="306" spans="1:5" x14ac:dyDescent="0.35">
      <c r="A306" s="1">
        <v>44629</v>
      </c>
      <c r="B306">
        <v>1985.9000244140625</v>
      </c>
      <c r="C306">
        <v>1.0757777807843567</v>
      </c>
      <c r="D306" s="2">
        <v>-2.6926590113771603E-2</v>
      </c>
      <c r="E306" s="2">
        <v>-4.4312271402414073E-3</v>
      </c>
    </row>
    <row r="307" spans="1:5" x14ac:dyDescent="0.35">
      <c r="A307" s="1">
        <v>44630</v>
      </c>
      <c r="B307">
        <v>1998.0999755859375</v>
      </c>
      <c r="C307">
        <v>1.0793424542826158</v>
      </c>
      <c r="D307" s="2">
        <v>6.1244926236270801E-3</v>
      </c>
      <c r="E307" s="2">
        <v>3.3081001153414829E-3</v>
      </c>
    </row>
    <row r="308" spans="1:5" x14ac:dyDescent="0.35">
      <c r="A308" s="1">
        <v>44631</v>
      </c>
      <c r="B308">
        <v>1982.699951171875</v>
      </c>
      <c r="C308">
        <v>1.0759861417180629</v>
      </c>
      <c r="D308" s="2">
        <v>-7.7371892700182146E-3</v>
      </c>
      <c r="E308" s="2">
        <v>-3.1144348789478886E-3</v>
      </c>
    </row>
    <row r="309" spans="1:5" x14ac:dyDescent="0.35">
      <c r="A309" s="1">
        <v>44634</v>
      </c>
      <c r="B309">
        <v>1959.5999755859375</v>
      </c>
      <c r="C309">
        <v>1.069781885140942</v>
      </c>
      <c r="D309" s="2">
        <v>-1.1719169211706966E-2</v>
      </c>
      <c r="E309" s="2">
        <v>-5.7828001806797934E-3</v>
      </c>
    </row>
    <row r="310" spans="1:5" x14ac:dyDescent="0.35">
      <c r="A310" s="1">
        <v>44635</v>
      </c>
      <c r="B310">
        <v>1928.5</v>
      </c>
      <c r="C310">
        <v>1.0657572051234456</v>
      </c>
      <c r="D310" s="2">
        <v>-1.5997859657440227E-2</v>
      </c>
      <c r="E310" s="2">
        <v>-3.7692447783307793E-3</v>
      </c>
    </row>
    <row r="311" spans="1:5" x14ac:dyDescent="0.35">
      <c r="A311" s="1">
        <v>44636</v>
      </c>
      <c r="B311">
        <v>1908</v>
      </c>
      <c r="C311">
        <v>1.0629477848274695</v>
      </c>
      <c r="D311" s="2">
        <v>-1.0686925640050688E-2</v>
      </c>
      <c r="E311" s="2">
        <v>-2.6395596763342062E-3</v>
      </c>
    </row>
    <row r="312" spans="1:5" x14ac:dyDescent="0.35">
      <c r="A312" s="1">
        <v>44637</v>
      </c>
      <c r="B312">
        <v>1942.0999755859375</v>
      </c>
      <c r="C312">
        <v>1.0620672410251346</v>
      </c>
      <c r="D312" s="2">
        <v>1.7714276252213116E-2</v>
      </c>
      <c r="E312" s="2">
        <v>-8.2874129549173928E-4</v>
      </c>
    </row>
    <row r="313" spans="1:5" x14ac:dyDescent="0.35">
      <c r="A313" s="1">
        <v>44638</v>
      </c>
      <c r="B313">
        <v>1928.199951171875</v>
      </c>
      <c r="C313">
        <v>1.0683532212883371</v>
      </c>
      <c r="D313" s="2">
        <v>-7.1829493533294873E-3</v>
      </c>
      <c r="E313" s="2">
        <v>5.901181120132745E-3</v>
      </c>
    </row>
    <row r="314" spans="1:5" x14ac:dyDescent="0.35">
      <c r="A314" s="1">
        <v>44641</v>
      </c>
      <c r="B314">
        <v>1928.5999755859375</v>
      </c>
      <c r="C314">
        <v>1.0718917902208847</v>
      </c>
      <c r="D314" s="2">
        <v>2.0743851021229863E-4</v>
      </c>
      <c r="E314" s="2">
        <v>3.3066981937290279E-3</v>
      </c>
    </row>
    <row r="315" spans="1:5" x14ac:dyDescent="0.35">
      <c r="A315" s="1">
        <v>44642</v>
      </c>
      <c r="B315">
        <v>1920.699951171875</v>
      </c>
      <c r="C315">
        <v>1.0708014204323155</v>
      </c>
      <c r="D315" s="2">
        <v>-4.1046609285687119E-3</v>
      </c>
      <c r="E315" s="2">
        <v>-1.0177564172674065E-3</v>
      </c>
    </row>
    <row r="316" spans="1:5" x14ac:dyDescent="0.35">
      <c r="A316" s="1">
        <v>44643</v>
      </c>
      <c r="B316">
        <v>1936.5999755859375</v>
      </c>
      <c r="C316">
        <v>1.0713405812163344</v>
      </c>
      <c r="D316" s="2">
        <v>8.2441680820088629E-3</v>
      </c>
      <c r="E316" s="2">
        <v>5.0338473825640854E-4</v>
      </c>
    </row>
    <row r="317" spans="1:5" x14ac:dyDescent="0.35">
      <c r="A317" s="1">
        <v>44644</v>
      </c>
      <c r="B317">
        <v>1961.5999755859375</v>
      </c>
      <c r="C317">
        <v>1.0744370277344253</v>
      </c>
      <c r="D317" s="2">
        <v>1.2826608725129677E-2</v>
      </c>
      <c r="E317" s="2">
        <v>2.8860853561826511E-3</v>
      </c>
    </row>
    <row r="318" spans="1:5" x14ac:dyDescent="0.35">
      <c r="A318" s="1">
        <v>44645</v>
      </c>
      <c r="B318">
        <v>1953.800048828125</v>
      </c>
      <c r="C318">
        <v>1.0758588387748462</v>
      </c>
      <c r="D318" s="2">
        <v>-3.9842350856929614E-3</v>
      </c>
      <c r="E318" s="2">
        <v>1.3224331309697379E-3</v>
      </c>
    </row>
    <row r="319" spans="1:5" x14ac:dyDescent="0.35">
      <c r="A319" s="1">
        <v>44648</v>
      </c>
      <c r="B319">
        <v>1939.5999755859375</v>
      </c>
      <c r="C319">
        <v>1.0738024380000202</v>
      </c>
      <c r="D319" s="2">
        <v>-7.294465566171339E-3</v>
      </c>
      <c r="E319" s="2">
        <v>-1.9132329584429808E-3</v>
      </c>
    </row>
    <row r="320" spans="1:5" x14ac:dyDescent="0.35">
      <c r="A320" s="1">
        <v>44649</v>
      </c>
      <c r="B320">
        <v>1912</v>
      </c>
      <c r="C320">
        <v>1.071042249158489</v>
      </c>
      <c r="D320" s="2">
        <v>-1.4331939032686957E-2</v>
      </c>
      <c r="E320" s="2">
        <v>-2.5737904303954617E-3</v>
      </c>
    </row>
    <row r="321" spans="1:5" x14ac:dyDescent="0.35">
      <c r="A321" s="1">
        <v>44650</v>
      </c>
      <c r="B321">
        <v>1933.5</v>
      </c>
      <c r="C321">
        <v>1.0739408037521192</v>
      </c>
      <c r="D321" s="2">
        <v>1.1182017436005276E-2</v>
      </c>
      <c r="E321" s="2">
        <v>2.7026380036068057E-3</v>
      </c>
    </row>
    <row r="322" spans="1:5" x14ac:dyDescent="0.35">
      <c r="A322" s="1">
        <v>44651</v>
      </c>
      <c r="B322">
        <v>1949.199951171875</v>
      </c>
      <c r="C322">
        <v>1.0834588375863996</v>
      </c>
      <c r="D322" s="2">
        <v>8.0871748716578509E-3</v>
      </c>
      <c r="E322" s="2">
        <v>8.8236740247798744E-3</v>
      </c>
    </row>
    <row r="323" spans="1:5" x14ac:dyDescent="0.35">
      <c r="A323" s="1">
        <v>44652</v>
      </c>
      <c r="B323">
        <v>1919.0999755859375</v>
      </c>
      <c r="C323">
        <v>1.083200643985063</v>
      </c>
      <c r="D323" s="2">
        <v>-1.5562693516428947E-2</v>
      </c>
      <c r="E323" s="2">
        <v>-2.3833334656866618E-4</v>
      </c>
    </row>
    <row r="324" spans="1:5" x14ac:dyDescent="0.35">
      <c r="A324" s="1">
        <v>44655</v>
      </c>
      <c r="B324">
        <v>1929.199951171875</v>
      </c>
      <c r="C324">
        <v>1.0800302613154196</v>
      </c>
      <c r="D324" s="2">
        <v>5.2490704821979012E-3</v>
      </c>
      <c r="E324" s="2">
        <v>-2.9311572165366413E-3</v>
      </c>
    </row>
    <row r="325" spans="1:5" x14ac:dyDescent="0.35">
      <c r="A325" s="1">
        <v>44656</v>
      </c>
      <c r="B325">
        <v>1922.9000244140625</v>
      </c>
      <c r="C325">
        <v>1.0796804465032852</v>
      </c>
      <c r="D325" s="2">
        <v>-3.270908031756635E-3</v>
      </c>
      <c r="E325" s="2">
        <v>-3.2394599325463627E-4</v>
      </c>
    </row>
    <row r="326" spans="1:5" x14ac:dyDescent="0.35">
      <c r="A326" s="1">
        <v>44657</v>
      </c>
      <c r="B326">
        <v>1918.4000244140625</v>
      </c>
      <c r="C326">
        <v>1.0757314969768084</v>
      </c>
      <c r="D326" s="2">
        <v>-2.3429578535094993E-3</v>
      </c>
      <c r="E326" s="2">
        <v>-3.6642220126964151E-3</v>
      </c>
    </row>
    <row r="327" spans="1:5" x14ac:dyDescent="0.35">
      <c r="A327" s="1">
        <v>44658</v>
      </c>
      <c r="B327">
        <v>1933.800048828125</v>
      </c>
      <c r="C327">
        <v>1.0717539519180457</v>
      </c>
      <c r="D327" s="2">
        <v>7.9954862997662409E-3</v>
      </c>
      <c r="E327" s="2">
        <v>-3.704378634342705E-3</v>
      </c>
    </row>
    <row r="328" spans="1:5" x14ac:dyDescent="0.35">
      <c r="A328" s="1">
        <v>44659</v>
      </c>
      <c r="B328">
        <v>1941.5999755859375</v>
      </c>
      <c r="C328">
        <v>1.0701138469877451</v>
      </c>
      <c r="D328" s="2">
        <v>4.0253585389149931E-3</v>
      </c>
      <c r="E328" s="2">
        <v>-1.5314719719842452E-3</v>
      </c>
    </row>
    <row r="329" spans="1:5" x14ac:dyDescent="0.35">
      <c r="A329" s="1">
        <v>44662</v>
      </c>
      <c r="B329">
        <v>1944.300048828125</v>
      </c>
      <c r="C329">
        <v>1.070388784036898</v>
      </c>
      <c r="D329" s="2">
        <v>1.3896773770587837E-3</v>
      </c>
      <c r="E329" s="2">
        <v>2.5689017773652912E-4</v>
      </c>
    </row>
    <row r="330" spans="1:5" x14ac:dyDescent="0.35">
      <c r="A330" s="1">
        <v>44663</v>
      </c>
      <c r="B330">
        <v>1972.0999755859375</v>
      </c>
      <c r="C330">
        <v>1.073767869313438</v>
      </c>
      <c r="D330" s="2">
        <v>1.4196912221042413E-2</v>
      </c>
      <c r="E330" s="2">
        <v>3.1519041005887462E-3</v>
      </c>
    </row>
    <row r="331" spans="1:5" x14ac:dyDescent="0.35">
      <c r="A331" s="1">
        <v>44664</v>
      </c>
      <c r="B331">
        <v>1981</v>
      </c>
      <c r="C331">
        <v>1.0722250630036756</v>
      </c>
      <c r="D331" s="2">
        <v>4.5028152622562474E-3</v>
      </c>
      <c r="E331" s="2">
        <v>-1.4378487014843706E-3</v>
      </c>
    </row>
    <row r="332" spans="1:5" x14ac:dyDescent="0.35">
      <c r="A332" s="1">
        <v>44665</v>
      </c>
      <c r="B332">
        <v>1970.9000244140625</v>
      </c>
      <c r="C332">
        <v>1.0708357983770507</v>
      </c>
      <c r="D332" s="2">
        <v>-5.1114641128363805E-3</v>
      </c>
      <c r="E332" s="2">
        <v>-1.296523907715493E-3</v>
      </c>
    </row>
    <row r="333" spans="1:5" x14ac:dyDescent="0.35">
      <c r="A333" s="1">
        <v>44669</v>
      </c>
      <c r="B333">
        <v>1982.9000244140625</v>
      </c>
      <c r="C333">
        <v>1.0611880877746913</v>
      </c>
      <c r="D333" s="2">
        <v>6.0701283313464912E-3</v>
      </c>
      <c r="E333" s="2">
        <v>-9.0503455590706279E-3</v>
      </c>
    </row>
    <row r="334" spans="1:5" x14ac:dyDescent="0.35">
      <c r="A334" s="1">
        <v>44670</v>
      </c>
      <c r="B334">
        <v>1955.699951171875</v>
      </c>
      <c r="C334">
        <v>1.0586491792719197</v>
      </c>
      <c r="D334" s="2">
        <v>-1.3812271285541397E-2</v>
      </c>
      <c r="E334" s="2">
        <v>-2.3953817174835524E-3</v>
      </c>
    </row>
    <row r="335" spans="1:5" x14ac:dyDescent="0.35">
      <c r="A335" s="1">
        <v>44671</v>
      </c>
      <c r="B335">
        <v>1952.300048828125</v>
      </c>
      <c r="C335">
        <v>1.050353986711005</v>
      </c>
      <c r="D335" s="2">
        <v>-1.7399709321988879E-3</v>
      </c>
      <c r="E335" s="2">
        <v>-7.8664987056034259E-3</v>
      </c>
    </row>
    <row r="336" spans="1:5" x14ac:dyDescent="0.35">
      <c r="A336" s="1">
        <v>44672</v>
      </c>
      <c r="B336">
        <v>1944.9000244140625</v>
      </c>
      <c r="C336">
        <v>1.0537407787092461</v>
      </c>
      <c r="D336" s="2">
        <v>-3.7976152973985644E-3</v>
      </c>
      <c r="E336" s="2">
        <v>3.2192418125116468E-3</v>
      </c>
    </row>
    <row r="337" spans="1:5" x14ac:dyDescent="0.35">
      <c r="A337" s="1">
        <v>44673</v>
      </c>
      <c r="B337">
        <v>1931</v>
      </c>
      <c r="C337">
        <v>1.0485477547448565</v>
      </c>
      <c r="D337" s="2">
        <v>-7.1725709734077273E-3</v>
      </c>
      <c r="E337" s="2">
        <v>-4.9403632698437885E-3</v>
      </c>
    </row>
    <row r="338" spans="1:5" x14ac:dyDescent="0.35">
      <c r="A338" s="1">
        <v>44676</v>
      </c>
      <c r="B338">
        <v>1893.199951171875</v>
      </c>
      <c r="C338">
        <v>1.0464629297291443</v>
      </c>
      <c r="D338" s="2">
        <v>-1.9769510187740744E-2</v>
      </c>
      <c r="E338" s="2">
        <v>-1.9902769177873483E-3</v>
      </c>
    </row>
    <row r="339" spans="1:5" x14ac:dyDescent="0.35">
      <c r="A339" s="1">
        <v>44677</v>
      </c>
      <c r="B339">
        <v>1901.4000244140625</v>
      </c>
      <c r="C339">
        <v>1.0435254671795344</v>
      </c>
      <c r="D339" s="2">
        <v>4.3219765242018485E-3</v>
      </c>
      <c r="E339" s="2">
        <v>-2.8109864037394509E-3</v>
      </c>
    </row>
    <row r="340" spans="1:5" x14ac:dyDescent="0.35">
      <c r="A340" s="1">
        <v>44678</v>
      </c>
      <c r="B340">
        <v>1885.9000244140625</v>
      </c>
      <c r="C340">
        <v>1.0392525406910418</v>
      </c>
      <c r="D340" s="2">
        <v>-8.185296301079753E-3</v>
      </c>
      <c r="E340" s="2">
        <v>-4.1031088931060677E-3</v>
      </c>
    </row>
    <row r="341" spans="1:5" x14ac:dyDescent="0.35">
      <c r="A341" s="1">
        <v>44679</v>
      </c>
      <c r="B341">
        <v>1888.699951171875</v>
      </c>
      <c r="C341">
        <v>1.0323433048319099</v>
      </c>
      <c r="D341" s="2">
        <v>1.4835623851351678E-3</v>
      </c>
      <c r="E341" s="2">
        <v>-6.6704724215702295E-3</v>
      </c>
    </row>
    <row r="342" spans="1:5" x14ac:dyDescent="0.35">
      <c r="A342" s="1">
        <v>44680</v>
      </c>
      <c r="B342">
        <v>1909.300048828125</v>
      </c>
      <c r="C342">
        <v>1.0291242018593434</v>
      </c>
      <c r="D342" s="2">
        <v>1.0847972444223454E-2</v>
      </c>
      <c r="E342" s="2">
        <v>-3.1231203777693319E-3</v>
      </c>
    </row>
    <row r="343" spans="1:5" x14ac:dyDescent="0.35">
      <c r="A343" s="1">
        <v>44683</v>
      </c>
      <c r="B343">
        <v>1861.800048828125</v>
      </c>
      <c r="C343">
        <v>1.0265148486027873</v>
      </c>
      <c r="D343" s="2">
        <v>-2.5192920384565429E-2</v>
      </c>
      <c r="E343" s="2">
        <v>-2.5387284381860912E-3</v>
      </c>
    </row>
    <row r="344" spans="1:5" x14ac:dyDescent="0.35">
      <c r="A344" s="1">
        <v>44684</v>
      </c>
      <c r="B344">
        <v>1868.800048828125</v>
      </c>
      <c r="C344">
        <v>1.0226621875813946</v>
      </c>
      <c r="D344" s="2">
        <v>3.7527518532821575E-3</v>
      </c>
      <c r="E344" s="2">
        <v>-3.7602076275609548E-3</v>
      </c>
    </row>
    <row r="345" spans="1:5" x14ac:dyDescent="0.35">
      <c r="A345" s="1">
        <v>44685</v>
      </c>
      <c r="B345">
        <v>1867</v>
      </c>
      <c r="C345">
        <v>1.0217009234834602</v>
      </c>
      <c r="D345" s="2">
        <v>-9.6367522024839861E-4</v>
      </c>
      <c r="E345" s="2">
        <v>-9.4040453339597283E-4</v>
      </c>
    </row>
    <row r="346" spans="1:5" x14ac:dyDescent="0.35">
      <c r="A346" s="1">
        <v>44686</v>
      </c>
      <c r="B346">
        <v>1874</v>
      </c>
      <c r="C346">
        <v>1.02754856722915</v>
      </c>
      <c r="D346" s="2">
        <v>3.7423192566449679E-3</v>
      </c>
      <c r="E346" s="2">
        <v>5.7071231631624156E-3</v>
      </c>
    </row>
    <row r="347" spans="1:5" x14ac:dyDescent="0.35">
      <c r="A347" s="1">
        <v>44687</v>
      </c>
      <c r="B347">
        <v>1881.199951171875</v>
      </c>
      <c r="C347">
        <v>1.0150223429695588</v>
      </c>
      <c r="D347" s="2">
        <v>3.8346613166858161E-3</v>
      </c>
      <c r="E347" s="2">
        <v>-1.2265308618123557E-2</v>
      </c>
    </row>
    <row r="348" spans="1:5" x14ac:dyDescent="0.35">
      <c r="A348" s="1">
        <v>44690</v>
      </c>
      <c r="B348">
        <v>1857.0999755859375</v>
      </c>
      <c r="C348">
        <v>1.0107850831803902</v>
      </c>
      <c r="D348" s="2">
        <v>-1.2893727062383077E-2</v>
      </c>
      <c r="E348" s="2">
        <v>-4.183286045619225E-3</v>
      </c>
    </row>
    <row r="349" spans="1:5" x14ac:dyDescent="0.35">
      <c r="A349" s="1">
        <v>44691</v>
      </c>
      <c r="B349">
        <v>1839.9000244140625</v>
      </c>
      <c r="C349">
        <v>1.0073537014262965</v>
      </c>
      <c r="D349" s="2">
        <v>-9.3048824833891798E-3</v>
      </c>
      <c r="E349" s="2">
        <v>-3.4005441913990257E-3</v>
      </c>
    </row>
    <row r="350" spans="1:5" x14ac:dyDescent="0.35">
      <c r="A350" s="1">
        <v>44692</v>
      </c>
      <c r="B350">
        <v>1852.5999755859375</v>
      </c>
      <c r="C350">
        <v>1.0043185681188842</v>
      </c>
      <c r="D350" s="2">
        <v>6.8788090723762392E-3</v>
      </c>
      <c r="E350" s="2">
        <v>-3.0175249282737935E-3</v>
      </c>
    </row>
    <row r="351" spans="1:5" x14ac:dyDescent="0.35">
      <c r="A351" s="1">
        <v>44693</v>
      </c>
      <c r="B351">
        <v>1823.800048828125</v>
      </c>
      <c r="C351">
        <v>1.0055708760407258</v>
      </c>
      <c r="D351" s="2">
        <v>-1.5667781369351496E-2</v>
      </c>
      <c r="E351" s="2">
        <v>1.2461462370855012E-3</v>
      </c>
    </row>
    <row r="352" spans="1:5" x14ac:dyDescent="0.35">
      <c r="A352" s="1">
        <v>44694</v>
      </c>
      <c r="B352">
        <v>1807.4000244140625</v>
      </c>
      <c r="C352">
        <v>0.99695930435634172</v>
      </c>
      <c r="D352" s="2">
        <v>-9.0329012966146368E-3</v>
      </c>
      <c r="E352" s="2">
        <v>-8.6007440524889425E-3</v>
      </c>
    </row>
    <row r="353" spans="1:5" x14ac:dyDescent="0.35">
      <c r="A353" s="1">
        <v>44697</v>
      </c>
      <c r="B353">
        <v>1813.5</v>
      </c>
      <c r="C353">
        <v>0.99777491386964801</v>
      </c>
      <c r="D353" s="2">
        <v>3.369317747265814E-3</v>
      </c>
      <c r="E353" s="2">
        <v>8.1776263855740398E-4</v>
      </c>
    </row>
    <row r="354" spans="1:5" x14ac:dyDescent="0.35">
      <c r="A354" s="1">
        <v>44698</v>
      </c>
      <c r="B354">
        <v>1818.199951171875</v>
      </c>
      <c r="C354">
        <v>0.99828300152468707</v>
      </c>
      <c r="D354" s="2">
        <v>2.5882941096002548E-3</v>
      </c>
      <c r="E354" s="2">
        <v>5.0909110611879434E-4</v>
      </c>
    </row>
    <row r="355" spans="1:5" x14ac:dyDescent="0.35">
      <c r="A355" s="1">
        <v>44699</v>
      </c>
      <c r="B355">
        <v>1815.9000244140625</v>
      </c>
      <c r="C355">
        <v>1.0062386955543079</v>
      </c>
      <c r="D355" s="2">
        <v>-1.2657478221988101E-3</v>
      </c>
      <c r="E355" s="2">
        <v>7.937789662443755E-3</v>
      </c>
    </row>
    <row r="356" spans="1:5" x14ac:dyDescent="0.35">
      <c r="A356" s="1">
        <v>44700</v>
      </c>
      <c r="B356">
        <v>1841.199951171875</v>
      </c>
      <c r="C356">
        <v>1.0130275342253923</v>
      </c>
      <c r="D356" s="2">
        <v>1.3836280412998598E-2</v>
      </c>
      <c r="E356" s="2">
        <v>6.7240903153950133E-3</v>
      </c>
    </row>
    <row r="357" spans="1:5" x14ac:dyDescent="0.35">
      <c r="A357" s="1">
        <v>44701</v>
      </c>
      <c r="B357">
        <v>1841.800048828125</v>
      </c>
      <c r="C357">
        <v>1.0286160904949788</v>
      </c>
      <c r="D357" s="2">
        <v>3.2587437499885286E-4</v>
      </c>
      <c r="E357" s="2">
        <v>1.5270891567398073E-2</v>
      </c>
    </row>
    <row r="358" spans="1:5" x14ac:dyDescent="0.35">
      <c r="A358" s="1">
        <v>44704</v>
      </c>
      <c r="B358">
        <v>1847.800048828125</v>
      </c>
      <c r="C358">
        <v>1.0256515343493167</v>
      </c>
      <c r="D358" s="2">
        <v>3.2523878632937969E-3</v>
      </c>
      <c r="E358" s="2">
        <v>-2.8862434161972123E-3</v>
      </c>
    </row>
    <row r="359" spans="1:5" x14ac:dyDescent="0.35">
      <c r="A359" s="1">
        <v>44705</v>
      </c>
      <c r="B359">
        <v>1865.0999755859375</v>
      </c>
      <c r="C359">
        <v>1.0352502586703947</v>
      </c>
      <c r="D359" s="2">
        <v>9.3188891918034658E-3</v>
      </c>
      <c r="E359" s="2">
        <v>9.3151393838578067E-3</v>
      </c>
    </row>
    <row r="360" spans="1:5" x14ac:dyDescent="0.35">
      <c r="A360" s="1">
        <v>44706</v>
      </c>
      <c r="B360">
        <v>1846.199951171875</v>
      </c>
      <c r="C360">
        <v>1.0414496852568143</v>
      </c>
      <c r="D360" s="2">
        <v>-1.0185211745308859E-2</v>
      </c>
      <c r="E360" s="2">
        <v>5.9704773626484678E-3</v>
      </c>
    </row>
    <row r="361" spans="1:5" x14ac:dyDescent="0.35">
      <c r="A361" s="1">
        <v>44707</v>
      </c>
      <c r="B361">
        <v>1847.4000244140625</v>
      </c>
      <c r="C361">
        <v>1.0400091198767254</v>
      </c>
      <c r="D361" s="2">
        <v>6.498122657287857E-4</v>
      </c>
      <c r="E361" s="2">
        <v>-1.3841884418212768E-3</v>
      </c>
    </row>
    <row r="362" spans="1:5" x14ac:dyDescent="0.35">
      <c r="A362" s="1">
        <v>44708</v>
      </c>
      <c r="B362">
        <v>1851.300048828125</v>
      </c>
      <c r="C362">
        <v>1.0432315248979478</v>
      </c>
      <c r="D362" s="2">
        <v>2.1088629963046065E-3</v>
      </c>
      <c r="E362" s="2">
        <v>3.0936489256302591E-3</v>
      </c>
    </row>
    <row r="363" spans="1:5" x14ac:dyDescent="0.35">
      <c r="A363" s="1">
        <v>44712</v>
      </c>
      <c r="B363">
        <v>1842.699951171875</v>
      </c>
      <c r="C363">
        <v>1.0435907669064877</v>
      </c>
      <c r="D363" s="2">
        <v>-4.656260527504244E-3</v>
      </c>
      <c r="E363" s="2">
        <v>3.4429573950738707E-4</v>
      </c>
    </row>
    <row r="364" spans="1:5" x14ac:dyDescent="0.35">
      <c r="A364" s="1">
        <v>44713</v>
      </c>
      <c r="B364">
        <v>1843.300048828125</v>
      </c>
      <c r="C364">
        <v>1.0421877797306685</v>
      </c>
      <c r="D364" s="2">
        <v>3.2560914897010034E-4</v>
      </c>
      <c r="E364" s="2">
        <v>-1.3452889230981219E-3</v>
      </c>
    </row>
    <row r="365" spans="1:5" x14ac:dyDescent="0.35">
      <c r="A365" s="1">
        <v>44714</v>
      </c>
      <c r="B365">
        <v>1866.5</v>
      </c>
      <c r="C365">
        <v>1.0383137610480713</v>
      </c>
      <c r="D365" s="2">
        <v>1.2507549362994801E-2</v>
      </c>
      <c r="E365" s="2">
        <v>-3.7241242883924879E-3</v>
      </c>
    </row>
    <row r="366" spans="1:5" x14ac:dyDescent="0.35">
      <c r="A366" s="1">
        <v>44715</v>
      </c>
      <c r="B366">
        <v>1845.4000244140625</v>
      </c>
      <c r="C366">
        <v>1.0444518513086265</v>
      </c>
      <c r="D366" s="2">
        <v>-1.1368949980497233E-2</v>
      </c>
      <c r="E366" s="2">
        <v>5.894189912349336E-3</v>
      </c>
    </row>
    <row r="367" spans="1:5" x14ac:dyDescent="0.35">
      <c r="A367" s="1">
        <v>44718</v>
      </c>
      <c r="B367">
        <v>1839.199951171875</v>
      </c>
      <c r="C367">
        <v>1.0392201606982736</v>
      </c>
      <c r="D367" s="2">
        <v>-3.365401473737211E-3</v>
      </c>
      <c r="E367" s="2">
        <v>-5.0216171969540138E-3</v>
      </c>
    </row>
    <row r="368" spans="1:5" x14ac:dyDescent="0.35">
      <c r="A368" s="1">
        <v>44719</v>
      </c>
      <c r="B368">
        <v>1847.5</v>
      </c>
      <c r="C368">
        <v>1.0295480221481605</v>
      </c>
      <c r="D368" s="2">
        <v>4.5027059219527876E-3</v>
      </c>
      <c r="E368" s="2">
        <v>-9.3506939097506101E-3</v>
      </c>
    </row>
    <row r="369" spans="1:5" x14ac:dyDescent="0.35">
      <c r="A369" s="1">
        <v>44720</v>
      </c>
      <c r="B369">
        <v>1851.9000244140625</v>
      </c>
      <c r="C369">
        <v>1.027231918391678</v>
      </c>
      <c r="D369" s="2">
        <v>2.3787784288539122E-3</v>
      </c>
      <c r="E369" s="2">
        <v>-2.2521658149415231E-3</v>
      </c>
    </row>
    <row r="370" spans="1:5" x14ac:dyDescent="0.35">
      <c r="A370" s="1">
        <v>44721</v>
      </c>
      <c r="B370">
        <v>1848.800048828125</v>
      </c>
      <c r="C370">
        <v>1.0216174315150031</v>
      </c>
      <c r="D370" s="2">
        <v>-1.6753458803278061E-3</v>
      </c>
      <c r="E370" s="2">
        <v>-5.480638125625689E-3</v>
      </c>
    </row>
    <row r="371" spans="1:5" x14ac:dyDescent="0.35">
      <c r="A371" s="1">
        <v>44722</v>
      </c>
      <c r="B371">
        <v>1871.5</v>
      </c>
      <c r="C371">
        <v>1.0199918131770156</v>
      </c>
      <c r="D371" s="2">
        <v>1.2203441973600668E-2</v>
      </c>
      <c r="E371" s="2">
        <v>-1.5924875788680326E-3</v>
      </c>
    </row>
    <row r="372" spans="1:5" x14ac:dyDescent="0.35">
      <c r="A372" s="1">
        <v>44725</v>
      </c>
      <c r="B372">
        <v>1828</v>
      </c>
      <c r="C372">
        <v>1.0106625118612915</v>
      </c>
      <c r="D372" s="2">
        <v>-2.3517775330388339E-2</v>
      </c>
      <c r="E372" s="2">
        <v>-9.1885328185462804E-3</v>
      </c>
    </row>
    <row r="373" spans="1:5" x14ac:dyDescent="0.35">
      <c r="A373" s="1">
        <v>44726</v>
      </c>
      <c r="B373">
        <v>1809.5</v>
      </c>
      <c r="C373">
        <v>1.0033461585200736</v>
      </c>
      <c r="D373" s="2">
        <v>-1.0171909010298149E-2</v>
      </c>
      <c r="E373" s="2">
        <v>-7.2654955592544122E-3</v>
      </c>
    </row>
    <row r="374" spans="1:5" x14ac:dyDescent="0.35">
      <c r="A374" s="1">
        <v>44727</v>
      </c>
      <c r="B374">
        <v>1815.300048828125</v>
      </c>
      <c r="C374">
        <v>1.0005002735134665</v>
      </c>
      <c r="D374" s="2">
        <v>3.2002061906902602E-3</v>
      </c>
      <c r="E374" s="2">
        <v>-2.8404241707328287E-3</v>
      </c>
    </row>
    <row r="375" spans="1:5" x14ac:dyDescent="0.35">
      <c r="A375" s="1">
        <v>44728</v>
      </c>
      <c r="B375">
        <v>1845.699951171875</v>
      </c>
      <c r="C375">
        <v>1.0054090755323544</v>
      </c>
      <c r="D375" s="2">
        <v>1.6607812663686532E-2</v>
      </c>
      <c r="E375" s="2">
        <v>4.8943506049055271E-3</v>
      </c>
    </row>
    <row r="376" spans="1:5" x14ac:dyDescent="0.35">
      <c r="A376" s="1">
        <v>44729</v>
      </c>
      <c r="B376">
        <v>1835.5999755859375</v>
      </c>
      <c r="C376">
        <v>1.0344042735507522</v>
      </c>
      <c r="D376" s="2">
        <v>-5.4871926378129796E-3</v>
      </c>
      <c r="E376" s="2">
        <v>2.8431180873253675E-2</v>
      </c>
    </row>
    <row r="377" spans="1:5" x14ac:dyDescent="0.35">
      <c r="A377" s="1">
        <v>44733</v>
      </c>
      <c r="B377">
        <v>1834.5999755859375</v>
      </c>
      <c r="C377">
        <v>1.0340192068582503</v>
      </c>
      <c r="D377" s="2">
        <v>-5.4492945237295516E-4</v>
      </c>
      <c r="E377" s="2">
        <v>-3.7232868471806117E-4</v>
      </c>
    </row>
    <row r="378" spans="1:5" x14ac:dyDescent="0.35">
      <c r="A378" s="1">
        <v>44734</v>
      </c>
      <c r="B378">
        <v>1834.300048828125</v>
      </c>
      <c r="C378">
        <v>1.0351752679654616</v>
      </c>
      <c r="D378" s="2">
        <v>-1.6349682819632593E-4</v>
      </c>
      <c r="E378" s="2">
        <v>1.1174021983571484E-3</v>
      </c>
    </row>
    <row r="379" spans="1:5" x14ac:dyDescent="0.35">
      <c r="A379" s="1">
        <v>44735</v>
      </c>
      <c r="B379">
        <v>1825.699951171875</v>
      </c>
      <c r="C379">
        <v>1.0397712817716627</v>
      </c>
      <c r="D379" s="2">
        <v>-4.6995155652061176E-3</v>
      </c>
      <c r="E379" s="2">
        <v>4.4300141834384488E-3</v>
      </c>
    </row>
    <row r="380" spans="1:5" x14ac:dyDescent="0.35">
      <c r="A380" s="1">
        <v>44736</v>
      </c>
      <c r="B380">
        <v>1826.5</v>
      </c>
      <c r="C380">
        <v>1.0401930839365554</v>
      </c>
      <c r="D380" s="2">
        <v>4.3811886075170113E-4</v>
      </c>
      <c r="E380" s="2">
        <v>4.0558595871068731E-4</v>
      </c>
    </row>
    <row r="381" spans="1:5" x14ac:dyDescent="0.35">
      <c r="A381" s="1">
        <v>44739</v>
      </c>
      <c r="B381">
        <v>1820.9000244140625</v>
      </c>
      <c r="C381">
        <v>1.0446155360604399</v>
      </c>
      <c r="D381" s="2">
        <v>-3.0706694898497379E-3</v>
      </c>
      <c r="E381" s="2">
        <v>4.2425560935203891E-3</v>
      </c>
    </row>
    <row r="382" spans="1:5" x14ac:dyDescent="0.35">
      <c r="A382" s="1">
        <v>44740</v>
      </c>
      <c r="B382">
        <v>1817.5</v>
      </c>
      <c r="C382">
        <v>1.0458500571915588</v>
      </c>
      <c r="D382" s="2">
        <v>-1.8689673378129851E-3</v>
      </c>
      <c r="E382" s="2">
        <v>1.1810969562147879E-3</v>
      </c>
    </row>
    <row r="383" spans="1:5" x14ac:dyDescent="0.35">
      <c r="A383" s="1">
        <v>44741</v>
      </c>
      <c r="B383">
        <v>1813.699951171875</v>
      </c>
      <c r="C383">
        <v>1.0452706581905531</v>
      </c>
      <c r="D383" s="2">
        <v>-2.0929997061282998E-3</v>
      </c>
      <c r="E383" s="2">
        <v>-5.5415166763995386E-4</v>
      </c>
    </row>
    <row r="384" spans="1:5" x14ac:dyDescent="0.35">
      <c r="A384" s="1">
        <v>44742</v>
      </c>
      <c r="B384">
        <v>1804.0999755859375</v>
      </c>
      <c r="C384">
        <v>1.0480202872426896</v>
      </c>
      <c r="D384" s="2">
        <v>-5.3070917753328907E-3</v>
      </c>
      <c r="E384" s="2">
        <v>2.6270888330523286E-3</v>
      </c>
    </row>
    <row r="385" spans="1:5" x14ac:dyDescent="0.35">
      <c r="A385" s="1">
        <v>44743</v>
      </c>
      <c r="B385">
        <v>1798.9000244140625</v>
      </c>
      <c r="C385">
        <v>1.0470217616337147</v>
      </c>
      <c r="D385" s="2">
        <v>-2.8864583859110646E-3</v>
      </c>
      <c r="E385" s="2">
        <v>-9.5322734464341966E-4</v>
      </c>
    </row>
    <row r="386" spans="1:5" x14ac:dyDescent="0.35">
      <c r="A386" s="1">
        <v>44747</v>
      </c>
      <c r="B386">
        <v>1761.800048828125</v>
      </c>
      <c r="C386">
        <v>1.0407668660125911</v>
      </c>
      <c r="D386" s="2">
        <v>-2.0839339149699231E-2</v>
      </c>
      <c r="E386" s="2">
        <v>-5.9919038281613518E-3</v>
      </c>
    </row>
    <row r="387" spans="1:5" x14ac:dyDescent="0.35">
      <c r="A387" s="1">
        <v>44748</v>
      </c>
      <c r="B387">
        <v>1734.9000244140625</v>
      </c>
      <c r="C387">
        <v>1.0325266636715553</v>
      </c>
      <c r="D387" s="2">
        <v>-1.5386252486003978E-2</v>
      </c>
      <c r="E387" s="2">
        <v>-7.9489426958448441E-3</v>
      </c>
    </row>
    <row r="388" spans="1:5" x14ac:dyDescent="0.35">
      <c r="A388" s="1">
        <v>44749</v>
      </c>
      <c r="B388">
        <v>1737.9000244140625</v>
      </c>
      <c r="C388">
        <v>1.0307153140993368</v>
      </c>
      <c r="D388" s="2">
        <v>1.7277129141139384E-3</v>
      </c>
      <c r="E388" s="2">
        <v>-1.7558289886400692E-3</v>
      </c>
    </row>
    <row r="389" spans="1:5" x14ac:dyDescent="0.35">
      <c r="A389" s="1">
        <v>44750</v>
      </c>
      <c r="B389">
        <v>1740.5999755859375</v>
      </c>
      <c r="C389">
        <v>1.026904904884441</v>
      </c>
      <c r="D389" s="2">
        <v>1.5523655104664287E-3</v>
      </c>
      <c r="E389" s="2">
        <v>-3.7037093001923509E-3</v>
      </c>
    </row>
    <row r="390" spans="1:5" x14ac:dyDescent="0.35">
      <c r="A390" s="1">
        <v>44753</v>
      </c>
      <c r="B390">
        <v>1730</v>
      </c>
      <c r="C390">
        <v>1.0227772742632451</v>
      </c>
      <c r="D390" s="2">
        <v>-6.1084588373548371E-3</v>
      </c>
      <c r="E390" s="2">
        <v>-4.0275865623142088E-3</v>
      </c>
    </row>
    <row r="391" spans="1:5" x14ac:dyDescent="0.35">
      <c r="A391" s="1">
        <v>44754</v>
      </c>
      <c r="B391">
        <v>1723.300048828125</v>
      </c>
      <c r="C391">
        <v>1.0175631553355631</v>
      </c>
      <c r="D391" s="2">
        <v>-3.880322870210738E-3</v>
      </c>
      <c r="E391" s="2">
        <v>-5.1110395134258673E-3</v>
      </c>
    </row>
    <row r="392" spans="1:5" x14ac:dyDescent="0.35">
      <c r="A392" s="1">
        <v>44755</v>
      </c>
      <c r="B392">
        <v>1734.199951171875</v>
      </c>
      <c r="C392">
        <v>1.018464770781601</v>
      </c>
      <c r="D392" s="2">
        <v>6.3050981654516405E-3</v>
      </c>
      <c r="E392" s="2">
        <v>8.8566123618223289E-4</v>
      </c>
    </row>
    <row r="393" spans="1:5" x14ac:dyDescent="0.35">
      <c r="A393" s="1">
        <v>44756</v>
      </c>
      <c r="B393">
        <v>1704.5</v>
      </c>
      <c r="C393">
        <v>1.0195758844997109</v>
      </c>
      <c r="D393" s="2">
        <v>-1.7274371209107783E-2</v>
      </c>
      <c r="E393" s="2">
        <v>1.0903745470589997E-3</v>
      </c>
    </row>
    <row r="394" spans="1:5" x14ac:dyDescent="0.35">
      <c r="A394" s="1">
        <v>44757</v>
      </c>
      <c r="B394">
        <v>1702.4000244140625</v>
      </c>
      <c r="C394">
        <v>1.0172940181977896</v>
      </c>
      <c r="D394" s="2">
        <v>-1.2327780896654707E-3</v>
      </c>
      <c r="E394" s="2">
        <v>-2.2405625941086839E-3</v>
      </c>
    </row>
    <row r="395" spans="1:5" x14ac:dyDescent="0.35">
      <c r="A395" s="1">
        <v>44760</v>
      </c>
      <c r="B395">
        <v>1709.199951171875</v>
      </c>
      <c r="C395">
        <v>1.0250102456938148</v>
      </c>
      <c r="D395" s="2">
        <v>3.9863617137530982E-3</v>
      </c>
      <c r="E395" s="2">
        <v>7.5564296158600625E-3</v>
      </c>
    </row>
    <row r="396" spans="1:5" x14ac:dyDescent="0.35">
      <c r="A396" s="1">
        <v>44761</v>
      </c>
      <c r="B396">
        <v>1710</v>
      </c>
      <c r="C396">
        <v>1.0230178803564376</v>
      </c>
      <c r="D396" s="2">
        <v>4.6797429466019519E-4</v>
      </c>
      <c r="E396" s="2">
        <v>-1.9456431682238291E-3</v>
      </c>
    </row>
    <row r="397" spans="1:5" x14ac:dyDescent="0.35">
      <c r="A397" s="1">
        <v>44762</v>
      </c>
      <c r="B397">
        <v>1699.5</v>
      </c>
      <c r="C397">
        <v>1.0322047805902472</v>
      </c>
      <c r="D397" s="2">
        <v>-6.159280360534849E-3</v>
      </c>
      <c r="E397" s="2">
        <v>8.9401130080523951E-3</v>
      </c>
    </row>
    <row r="398" spans="1:5" x14ac:dyDescent="0.35">
      <c r="A398" s="1">
        <v>44763</v>
      </c>
      <c r="B398">
        <v>1712.699951171875</v>
      </c>
      <c r="C398">
        <v>1.0293678669320643</v>
      </c>
      <c r="D398" s="2">
        <v>7.736953992708003E-3</v>
      </c>
      <c r="E398" s="2">
        <v>-2.752185766804869E-3</v>
      </c>
    </row>
    <row r="399" spans="1:5" x14ac:dyDescent="0.35">
      <c r="A399" s="1">
        <v>44764</v>
      </c>
      <c r="B399">
        <v>1727.0999755859375</v>
      </c>
      <c r="C399">
        <v>1.0349824116328132</v>
      </c>
      <c r="D399" s="2">
        <v>8.3726430851239868E-3</v>
      </c>
      <c r="E399" s="2">
        <v>5.4395405691737859E-3</v>
      </c>
    </row>
    <row r="400" spans="1:5" x14ac:dyDescent="0.35">
      <c r="A400" s="1">
        <v>44767</v>
      </c>
      <c r="B400">
        <v>1719</v>
      </c>
      <c r="C400">
        <v>1.0384215996834454</v>
      </c>
      <c r="D400" s="2">
        <v>-4.7009608311534817E-3</v>
      </c>
      <c r="E400" s="2">
        <v>3.3174346977146089E-3</v>
      </c>
    </row>
    <row r="401" spans="1:5" x14ac:dyDescent="0.35">
      <c r="A401" s="1">
        <v>44768</v>
      </c>
      <c r="B401">
        <v>1717.699951171875</v>
      </c>
      <c r="C401">
        <v>1.0370324034302665</v>
      </c>
      <c r="D401" s="2">
        <v>-7.5656816632680899E-4</v>
      </c>
      <c r="E401" s="2">
        <v>-1.3386916390911495E-3</v>
      </c>
    </row>
    <row r="402" spans="1:5" x14ac:dyDescent="0.35">
      <c r="A402" s="1">
        <v>44769</v>
      </c>
      <c r="B402">
        <v>1719.0999755859375</v>
      </c>
      <c r="C402">
        <v>1.0392417900521986</v>
      </c>
      <c r="D402" s="2">
        <v>8.1472562927188393E-4</v>
      </c>
      <c r="E402" s="2">
        <v>2.1282232017219719E-3</v>
      </c>
    </row>
    <row r="403" spans="1:5" x14ac:dyDescent="0.35">
      <c r="A403" s="1">
        <v>44770</v>
      </c>
      <c r="B403">
        <v>1750.300048828125</v>
      </c>
      <c r="C403">
        <v>1.0436343262381171</v>
      </c>
      <c r="D403" s="2">
        <v>1.7986345847998488E-2</v>
      </c>
      <c r="E403" s="2">
        <v>4.2177666384806377E-3</v>
      </c>
    </row>
    <row r="404" spans="1:5" x14ac:dyDescent="0.35">
      <c r="A404" s="1">
        <v>44771</v>
      </c>
      <c r="B404">
        <v>1762.9000244140625</v>
      </c>
      <c r="C404">
        <v>1.0477567851636003</v>
      </c>
      <c r="D404" s="2">
        <v>7.1729644467121373E-3</v>
      </c>
      <c r="E404" s="2">
        <v>3.942317859374999E-3</v>
      </c>
    </row>
    <row r="405" spans="1:5" x14ac:dyDescent="0.35">
      <c r="A405" s="1">
        <v>44774</v>
      </c>
      <c r="B405">
        <v>1769</v>
      </c>
      <c r="C405">
        <v>1.0492408908370123</v>
      </c>
      <c r="D405" s="2">
        <v>3.454221019280375E-3</v>
      </c>
      <c r="E405" s="2">
        <v>1.4154578597616986E-3</v>
      </c>
    </row>
    <row r="406" spans="1:5" x14ac:dyDescent="0.35">
      <c r="A406" s="1">
        <v>44775</v>
      </c>
      <c r="B406">
        <v>1771.0999755859375</v>
      </c>
      <c r="C406">
        <v>1.052520782108795</v>
      </c>
      <c r="D406" s="2">
        <v>1.186393518112395E-3</v>
      </c>
      <c r="E406" s="2">
        <v>3.121090251581804E-3</v>
      </c>
    </row>
    <row r="407" spans="1:5" x14ac:dyDescent="0.35">
      <c r="A407" s="1">
        <v>44776</v>
      </c>
      <c r="B407">
        <v>1758</v>
      </c>
      <c r="C407">
        <v>1.0433185872241542</v>
      </c>
      <c r="D407" s="2">
        <v>-7.4240094327752458E-3</v>
      </c>
      <c r="E407" s="2">
        <v>-8.7814497178985654E-3</v>
      </c>
    </row>
    <row r="408" spans="1:5" x14ac:dyDescent="0.35">
      <c r="A408" s="1">
        <v>44777</v>
      </c>
      <c r="B408">
        <v>1788.5</v>
      </c>
      <c r="C408">
        <v>1.040377048574447</v>
      </c>
      <c r="D408" s="2">
        <v>1.7200480453950031E-2</v>
      </c>
      <c r="E408" s="2">
        <v>-2.8233879777973805E-3</v>
      </c>
    </row>
    <row r="409" spans="1:5" x14ac:dyDescent="0.35">
      <c r="A409" s="1">
        <v>44778</v>
      </c>
      <c r="B409">
        <v>1772.9000244140625</v>
      </c>
      <c r="C409">
        <v>1.0481301516367476</v>
      </c>
      <c r="D409" s="2">
        <v>-8.760642024044224E-3</v>
      </c>
      <c r="E409" s="2">
        <v>7.4245745256260043E-3</v>
      </c>
    </row>
    <row r="410" spans="1:5" x14ac:dyDescent="0.35">
      <c r="A410" s="1">
        <v>44781</v>
      </c>
      <c r="B410">
        <v>1786.800048828125</v>
      </c>
      <c r="C410">
        <v>1.0392417900521986</v>
      </c>
      <c r="D410" s="2">
        <v>7.8097001300701154E-3</v>
      </c>
      <c r="E410" s="2">
        <v>-8.5163694391290606E-3</v>
      </c>
    </row>
    <row r="411" spans="1:5" x14ac:dyDescent="0.35">
      <c r="A411" s="1">
        <v>44782</v>
      </c>
      <c r="B411">
        <v>1794</v>
      </c>
      <c r="C411">
        <v>1.0472520116442787</v>
      </c>
      <c r="D411" s="2">
        <v>4.0214258136430751E-3</v>
      </c>
      <c r="E411" s="2">
        <v>7.6782024839389482E-3</v>
      </c>
    </row>
    <row r="412" spans="1:5" x14ac:dyDescent="0.35">
      <c r="A412" s="1">
        <v>44783</v>
      </c>
      <c r="B412">
        <v>1795.5999755859375</v>
      </c>
      <c r="C412">
        <v>1.0480312857392371</v>
      </c>
      <c r="D412" s="2">
        <v>8.9145069243134155E-4</v>
      </c>
      <c r="E412" s="2">
        <v>7.4383653214070357E-4</v>
      </c>
    </row>
    <row r="413" spans="1:5" x14ac:dyDescent="0.35">
      <c r="A413" s="1">
        <v>44784</v>
      </c>
      <c r="B413">
        <v>1789.699951171875</v>
      </c>
      <c r="C413">
        <v>1.0612331285429197</v>
      </c>
      <c r="D413" s="2">
        <v>-3.291233570665182E-3</v>
      </c>
      <c r="E413" s="2">
        <v>1.2518122537539578E-2</v>
      </c>
    </row>
    <row r="414" spans="1:5" x14ac:dyDescent="0.35">
      <c r="A414" s="1">
        <v>44785</v>
      </c>
      <c r="B414">
        <v>1798.5999755859375</v>
      </c>
      <c r="C414">
        <v>1.0623379911097062</v>
      </c>
      <c r="D414" s="2">
        <v>4.9605901659817552E-3</v>
      </c>
      <c r="E414" s="2">
        <v>1.0405704393468304E-3</v>
      </c>
    </row>
    <row r="415" spans="1:5" x14ac:dyDescent="0.35">
      <c r="A415" s="1">
        <v>44788</v>
      </c>
      <c r="B415">
        <v>1781.4000244140625</v>
      </c>
      <c r="C415">
        <v>1.0617965617144771</v>
      </c>
      <c r="D415" s="2">
        <v>-9.6089852037341862E-3</v>
      </c>
      <c r="E415" s="2">
        <v>-5.0978823938895902E-4</v>
      </c>
    </row>
    <row r="416" spans="1:5" x14ac:dyDescent="0.35">
      <c r="A416" s="1">
        <v>44789</v>
      </c>
      <c r="B416">
        <v>1773.199951171875</v>
      </c>
      <c r="C416">
        <v>1.0571271677302176</v>
      </c>
      <c r="D416" s="2">
        <v>-4.6137893685845414E-3</v>
      </c>
      <c r="E416" s="2">
        <v>-4.4073332869809852E-3</v>
      </c>
    </row>
    <row r="417" spans="1:5" x14ac:dyDescent="0.35">
      <c r="A417" s="1">
        <v>44790</v>
      </c>
      <c r="B417">
        <v>1760.300048828125</v>
      </c>
      <c r="C417">
        <v>1.0530084415958147</v>
      </c>
      <c r="D417" s="2">
        <v>-7.3015195437198168E-3</v>
      </c>
      <c r="E417" s="2">
        <v>-3.9037598785161931E-3</v>
      </c>
    </row>
    <row r="418" spans="1:5" x14ac:dyDescent="0.35">
      <c r="A418" s="1">
        <v>44791</v>
      </c>
      <c r="B418">
        <v>1755.300048828125</v>
      </c>
      <c r="C418">
        <v>1.0511488839839664</v>
      </c>
      <c r="D418" s="2">
        <v>-2.8444665106128978E-3</v>
      </c>
      <c r="E418" s="2">
        <v>-1.7675086110342738E-3</v>
      </c>
    </row>
    <row r="419" spans="1:5" x14ac:dyDescent="0.35">
      <c r="A419" s="1">
        <v>44792</v>
      </c>
      <c r="B419">
        <v>1747.5999755859375</v>
      </c>
      <c r="C419">
        <v>1.0453799468213338</v>
      </c>
      <c r="D419" s="2">
        <v>-4.3964061726091304E-3</v>
      </c>
      <c r="E419" s="2">
        <v>-5.503336408292852E-3</v>
      </c>
    </row>
    <row r="420" spans="1:5" x14ac:dyDescent="0.35">
      <c r="A420" s="1">
        <v>44795</v>
      </c>
      <c r="B420">
        <v>1734</v>
      </c>
      <c r="C420">
        <v>1.0429703602419371</v>
      </c>
      <c r="D420" s="2">
        <v>-7.8125257667417299E-3</v>
      </c>
      <c r="E420" s="2">
        <v>-2.3076469886761713E-3</v>
      </c>
    </row>
    <row r="421" spans="1:5" x14ac:dyDescent="0.35">
      <c r="A421" s="1">
        <v>44796</v>
      </c>
      <c r="B421">
        <v>1746.800048828125</v>
      </c>
      <c r="C421">
        <v>1.0369141505840531</v>
      </c>
      <c r="D421" s="2">
        <v>7.3546922238179342E-3</v>
      </c>
      <c r="E421" s="2">
        <v>-5.8236183234949886E-3</v>
      </c>
    </row>
    <row r="422" spans="1:5" x14ac:dyDescent="0.35">
      <c r="A422" s="1">
        <v>44797</v>
      </c>
      <c r="B422">
        <v>1747.800048828125</v>
      </c>
      <c r="C422">
        <v>1.036935619964187</v>
      </c>
      <c r="D422" s="2">
        <v>5.7231156604490056E-4</v>
      </c>
      <c r="E422" s="2">
        <v>2.0704855712796662E-5</v>
      </c>
    </row>
    <row r="423" spans="1:5" x14ac:dyDescent="0.35">
      <c r="A423" s="1">
        <v>44798</v>
      </c>
      <c r="B423">
        <v>1757.699951171875</v>
      </c>
      <c r="C423">
        <v>1.0347039823841711</v>
      </c>
      <c r="D423" s="2">
        <v>5.6482263089466384E-3</v>
      </c>
      <c r="E423" s="2">
        <v>-2.1544659029558901E-3</v>
      </c>
    </row>
    <row r="424" spans="1:5" x14ac:dyDescent="0.35">
      <c r="A424" s="1">
        <v>44799</v>
      </c>
      <c r="B424">
        <v>1736.0999755859375</v>
      </c>
      <c r="C424">
        <v>1.0377211770576824</v>
      </c>
      <c r="D424" s="2">
        <v>-1.2364904253983925E-2</v>
      </c>
      <c r="E424" s="2">
        <v>2.9117546575731438E-3</v>
      </c>
    </row>
    <row r="425" spans="1:5" x14ac:dyDescent="0.35">
      <c r="A425" s="1">
        <v>44802</v>
      </c>
      <c r="B425">
        <v>1736.5999755859375</v>
      </c>
      <c r="C425">
        <v>1.0325245031397523</v>
      </c>
      <c r="D425" s="2">
        <v>2.8796038269078751E-4</v>
      </c>
      <c r="E425" s="2">
        <v>-5.0203556827756301E-3</v>
      </c>
    </row>
    <row r="426" spans="1:5" x14ac:dyDescent="0.35">
      <c r="A426" s="1">
        <v>44803</v>
      </c>
      <c r="B426">
        <v>1723.199951171875</v>
      </c>
      <c r="C426">
        <v>1.0339978580736184</v>
      </c>
      <c r="D426" s="2">
        <v>-7.746165501607033E-3</v>
      </c>
      <c r="E426" s="2">
        <v>1.4259271626219569E-3</v>
      </c>
    </row>
    <row r="427" spans="1:5" x14ac:dyDescent="0.35">
      <c r="A427" s="1">
        <v>44804</v>
      </c>
      <c r="B427">
        <v>1712.800048828125</v>
      </c>
      <c r="C427">
        <v>1.0267783931446335</v>
      </c>
      <c r="D427" s="2">
        <v>-6.0535122831442351E-3</v>
      </c>
      <c r="E427" s="2">
        <v>-7.0065777006143052E-3</v>
      </c>
    </row>
    <row r="428" spans="1:5" x14ac:dyDescent="0.35">
      <c r="A428" s="1">
        <v>44805</v>
      </c>
      <c r="B428">
        <v>1696.5999755859375</v>
      </c>
      <c r="C428">
        <v>1.0213774214634068</v>
      </c>
      <c r="D428" s="2">
        <v>-9.5032527996111969E-3</v>
      </c>
      <c r="E428" s="2">
        <v>-5.273997380202752E-3</v>
      </c>
    </row>
    <row r="429" spans="1:5" x14ac:dyDescent="0.35">
      <c r="A429" s="1">
        <v>44806</v>
      </c>
      <c r="B429">
        <v>1709.800048828125</v>
      </c>
      <c r="C429">
        <v>1.0190667565473148</v>
      </c>
      <c r="D429" s="2">
        <v>7.7501991662910705E-3</v>
      </c>
      <c r="E429" s="2">
        <v>-2.264865590275483E-3</v>
      </c>
    </row>
    <row r="430" spans="1:5" x14ac:dyDescent="0.35">
      <c r="A430" s="1">
        <v>44810</v>
      </c>
      <c r="B430">
        <v>1700.4000244140625</v>
      </c>
      <c r="C430">
        <v>1.0220768685483637</v>
      </c>
      <c r="D430" s="2">
        <v>-5.5129013074622065E-3</v>
      </c>
      <c r="E430" s="2">
        <v>2.9494388794276101E-3</v>
      </c>
    </row>
    <row r="431" spans="1:5" x14ac:dyDescent="0.35">
      <c r="A431" s="1">
        <v>44811</v>
      </c>
      <c r="B431">
        <v>1715.300048828125</v>
      </c>
      <c r="C431">
        <v>1.0157233795297778</v>
      </c>
      <c r="D431" s="2">
        <v>8.7244890395395108E-3</v>
      </c>
      <c r="E431" s="2">
        <v>-6.235654953585682E-3</v>
      </c>
    </row>
    <row r="432" spans="1:5" x14ac:dyDescent="0.35">
      <c r="A432" s="1">
        <v>44812</v>
      </c>
      <c r="B432">
        <v>1708</v>
      </c>
      <c r="C432">
        <v>1.0235833570917696</v>
      </c>
      <c r="D432" s="2">
        <v>-4.2649255334941934E-3</v>
      </c>
      <c r="E432" s="2">
        <v>7.7085181366914491E-3</v>
      </c>
    </row>
    <row r="433" spans="1:5" x14ac:dyDescent="0.35">
      <c r="A433" s="1">
        <v>44813</v>
      </c>
      <c r="B433">
        <v>1716.199951171875</v>
      </c>
      <c r="C433">
        <v>1.0323646488731637</v>
      </c>
      <c r="D433" s="2">
        <v>4.7894205732026988E-3</v>
      </c>
      <c r="E433" s="2">
        <v>8.5423806001728199E-3</v>
      </c>
    </row>
    <row r="434" spans="1:5" x14ac:dyDescent="0.35">
      <c r="A434" s="1">
        <v>44816</v>
      </c>
      <c r="B434">
        <v>1728.0999755859375</v>
      </c>
      <c r="C434">
        <v>1.04175349127604</v>
      </c>
      <c r="D434" s="2">
        <v>6.9100090105372255E-3</v>
      </c>
      <c r="E434" s="2">
        <v>9.0533960915277299E-3</v>
      </c>
    </row>
    <row r="435" spans="1:5" x14ac:dyDescent="0.35">
      <c r="A435" s="1">
        <v>44817</v>
      </c>
      <c r="B435">
        <v>1705</v>
      </c>
      <c r="C435">
        <v>1.0495382297682794</v>
      </c>
      <c r="D435" s="2">
        <v>-1.3457414214637989E-2</v>
      </c>
      <c r="E435" s="2">
        <v>7.4449435925630792E-3</v>
      </c>
    </row>
    <row r="436" spans="1:5" x14ac:dyDescent="0.35">
      <c r="A436" s="1">
        <v>44818</v>
      </c>
      <c r="B436">
        <v>1696.5</v>
      </c>
      <c r="C436">
        <v>1.0413087065370776</v>
      </c>
      <c r="D436" s="2">
        <v>-4.9978054933323456E-3</v>
      </c>
      <c r="E436" s="2">
        <v>-7.8719925267609955E-3</v>
      </c>
    </row>
    <row r="437" spans="1:5" x14ac:dyDescent="0.35">
      <c r="A437" s="1">
        <v>44819</v>
      </c>
      <c r="B437">
        <v>1665.4000244140625</v>
      </c>
      <c r="C437">
        <v>1.039615617964738</v>
      </c>
      <c r="D437" s="2">
        <v>-1.8501955762987212E-2</v>
      </c>
      <c r="E437" s="2">
        <v>-1.6272470132652915E-3</v>
      </c>
    </row>
    <row r="438" spans="1:5" x14ac:dyDescent="0.35">
      <c r="A438" s="1">
        <v>44820</v>
      </c>
      <c r="B438">
        <v>1671.699951171875</v>
      </c>
      <c r="C438">
        <v>1.0397172193967821</v>
      </c>
      <c r="D438" s="2">
        <v>3.7756940386221289E-3</v>
      </c>
      <c r="E438" s="2">
        <v>9.772503016291755E-5</v>
      </c>
    </row>
    <row r="439" spans="1:5" x14ac:dyDescent="0.35">
      <c r="A439" s="1">
        <v>44823</v>
      </c>
      <c r="B439">
        <v>1666.199951171875</v>
      </c>
      <c r="C439">
        <v>1.0381952158115029</v>
      </c>
      <c r="D439" s="2">
        <v>-3.2954882641918711E-3</v>
      </c>
      <c r="E439" s="2">
        <v>-1.4649355109289156E-3</v>
      </c>
    </row>
    <row r="440" spans="1:5" x14ac:dyDescent="0.35">
      <c r="A440" s="1">
        <v>44824</v>
      </c>
      <c r="B440">
        <v>1659.699951171875</v>
      </c>
      <c r="C440">
        <v>1.0372475709974054</v>
      </c>
      <c r="D440" s="2">
        <v>-3.9087215289053045E-3</v>
      </c>
      <c r="E440" s="2">
        <v>-9.1319778697473465E-4</v>
      </c>
    </row>
    <row r="441" spans="1:5" x14ac:dyDescent="0.35">
      <c r="A441" s="1">
        <v>44825</v>
      </c>
      <c r="B441">
        <v>1664.5999755859375</v>
      </c>
      <c r="C441">
        <v>1.0376673276553987</v>
      </c>
      <c r="D441" s="2">
        <v>2.948005938547933E-3</v>
      </c>
      <c r="E441" s="2">
        <v>4.0460132990721411E-4</v>
      </c>
    </row>
    <row r="442" spans="1:5" x14ac:dyDescent="0.35">
      <c r="A442" s="1">
        <v>44826</v>
      </c>
      <c r="B442">
        <v>1670.800048828125</v>
      </c>
      <c r="C442">
        <v>1.0331219166692633</v>
      </c>
      <c r="D442" s="2">
        <v>3.7177432020477504E-3</v>
      </c>
      <c r="E442" s="2">
        <v>-4.3900346678675244E-3</v>
      </c>
    </row>
    <row r="443" spans="1:5" x14ac:dyDescent="0.35">
      <c r="A443" s="1">
        <v>44827</v>
      </c>
      <c r="B443">
        <v>1645.300048828125</v>
      </c>
      <c r="C443">
        <v>1.0249051744307869</v>
      </c>
      <c r="D443" s="2">
        <v>-1.5379814777475905E-2</v>
      </c>
      <c r="E443" s="2">
        <v>-7.9851095581843067E-3</v>
      </c>
    </row>
    <row r="444" spans="1:5" x14ac:dyDescent="0.35">
      <c r="A444" s="1">
        <v>44830</v>
      </c>
      <c r="B444">
        <v>1623.300048828125</v>
      </c>
      <c r="C444">
        <v>1.0179049338661537</v>
      </c>
      <c r="D444" s="2">
        <v>-1.3461623673598822E-2</v>
      </c>
      <c r="E444" s="2">
        <v>-6.8535669929315679E-3</v>
      </c>
    </row>
    <row r="445" spans="1:5" x14ac:dyDescent="0.35">
      <c r="A445" s="1">
        <v>44831</v>
      </c>
      <c r="B445">
        <v>1626.699951171875</v>
      </c>
      <c r="C445">
        <v>1.007932446986602</v>
      </c>
      <c r="D445" s="2">
        <v>2.0922483593887654E-3</v>
      </c>
      <c r="E445" s="2">
        <v>-9.8453780423452247E-3</v>
      </c>
    </row>
    <row r="446" spans="1:5" x14ac:dyDescent="0.35">
      <c r="A446" s="1">
        <v>44832</v>
      </c>
      <c r="B446">
        <v>1660.4000244140625</v>
      </c>
      <c r="C446">
        <v>1.0085525380456624</v>
      </c>
      <c r="D446" s="2">
        <v>2.0505159126874725E-2</v>
      </c>
      <c r="E446" s="2">
        <v>6.1502176630029632E-4</v>
      </c>
    </row>
    <row r="447" spans="1:5" x14ac:dyDescent="0.35">
      <c r="A447" s="1">
        <v>44833</v>
      </c>
      <c r="B447">
        <v>1658.5</v>
      </c>
      <c r="C447">
        <v>1.0228923244860211</v>
      </c>
      <c r="D447" s="2">
        <v>-1.1449724954999327E-3</v>
      </c>
      <c r="E447" s="2">
        <v>1.4118054481583641E-2</v>
      </c>
    </row>
    <row r="448" spans="1:5" x14ac:dyDescent="0.35">
      <c r="A448" s="1">
        <v>44834</v>
      </c>
      <c r="B448">
        <v>1662.4000244140625</v>
      </c>
      <c r="C448">
        <v>1.0257146789148437</v>
      </c>
      <c r="D448" s="2">
        <v>2.348776643889567E-3</v>
      </c>
      <c r="E448" s="2">
        <v>2.755390574949894E-3</v>
      </c>
    </row>
    <row r="449" spans="1:5" x14ac:dyDescent="0.35">
      <c r="A449" s="1">
        <v>44837</v>
      </c>
      <c r="B449">
        <v>1692.9000244140625</v>
      </c>
      <c r="C449">
        <v>1.014558917466208</v>
      </c>
      <c r="D449" s="2">
        <v>1.8180693033651461E-2</v>
      </c>
      <c r="E449" s="2">
        <v>-1.0935663377190041E-2</v>
      </c>
    </row>
    <row r="450" spans="1:5" x14ac:dyDescent="0.35">
      <c r="A450" s="1">
        <v>44838</v>
      </c>
      <c r="B450">
        <v>1721.0999755859375</v>
      </c>
      <c r="C450">
        <v>1.0074957390510937</v>
      </c>
      <c r="D450" s="2">
        <v>1.6520558026136455E-2</v>
      </c>
      <c r="E450" s="2">
        <v>-6.9861683706442714E-3</v>
      </c>
    </row>
    <row r="451" spans="1:5" x14ac:dyDescent="0.35">
      <c r="A451" s="1">
        <v>44839</v>
      </c>
      <c r="B451">
        <v>1711.4000244140625</v>
      </c>
      <c r="C451">
        <v>1.0217739745941672</v>
      </c>
      <c r="D451" s="2">
        <v>-5.6518438412799738E-3</v>
      </c>
      <c r="E451" s="2">
        <v>1.4072521833693712E-2</v>
      </c>
    </row>
    <row r="452" spans="1:5" x14ac:dyDescent="0.35">
      <c r="A452" s="1">
        <v>44840</v>
      </c>
      <c r="B452">
        <v>1711.699951171875</v>
      </c>
      <c r="C452">
        <v>1.0190355602813395</v>
      </c>
      <c r="D452" s="2">
        <v>1.7523692601385205E-4</v>
      </c>
      <c r="E452" s="2">
        <v>-2.683656568178911E-3</v>
      </c>
    </row>
    <row r="453" spans="1:5" x14ac:dyDescent="0.35">
      <c r="A453" s="1">
        <v>44841</v>
      </c>
      <c r="B453">
        <v>1700.5</v>
      </c>
      <c r="C453">
        <v>1.0101315911712854</v>
      </c>
      <c r="D453" s="2">
        <v>-6.5646747282682022E-3</v>
      </c>
      <c r="E453" s="2">
        <v>-8.7760402108013596E-3</v>
      </c>
    </row>
    <row r="454" spans="1:5" x14ac:dyDescent="0.35">
      <c r="A454" s="1">
        <v>44844</v>
      </c>
      <c r="B454">
        <v>1667.300048828125</v>
      </c>
      <c r="C454">
        <v>1.0054697521531291</v>
      </c>
      <c r="D454" s="2">
        <v>-1.9716744595091009E-2</v>
      </c>
      <c r="E454" s="2">
        <v>-4.6257632704076474E-3</v>
      </c>
    </row>
    <row r="455" spans="1:5" x14ac:dyDescent="0.35">
      <c r="A455" s="1">
        <v>44845</v>
      </c>
      <c r="B455">
        <v>1678.699951171875</v>
      </c>
      <c r="C455">
        <v>1.0004902500120014</v>
      </c>
      <c r="D455" s="2">
        <v>6.8140743893408389E-3</v>
      </c>
      <c r="E455" s="2">
        <v>-4.9647175056536366E-3</v>
      </c>
    </row>
    <row r="456" spans="1:5" x14ac:dyDescent="0.35">
      <c r="A456" s="1">
        <v>44846</v>
      </c>
      <c r="B456">
        <v>1670.300048828125</v>
      </c>
      <c r="C456">
        <v>1.002405754787715</v>
      </c>
      <c r="D456" s="2">
        <v>-5.0163750124518312E-3</v>
      </c>
      <c r="E456" s="2">
        <v>1.9127357138085002E-3</v>
      </c>
    </row>
    <row r="457" spans="1:5" x14ac:dyDescent="0.35">
      <c r="A457" s="1">
        <v>44847</v>
      </c>
      <c r="B457">
        <v>1670</v>
      </c>
      <c r="C457">
        <v>1.0026168578618115</v>
      </c>
      <c r="D457" s="2">
        <v>-1.7965381824740632E-4</v>
      </c>
      <c r="E457" s="2">
        <v>2.1057425840964269E-4</v>
      </c>
    </row>
    <row r="458" spans="1:5" x14ac:dyDescent="0.35">
      <c r="A458" s="1">
        <v>44848</v>
      </c>
      <c r="B458">
        <v>1641.699951171875</v>
      </c>
      <c r="C458">
        <v>0.99859197784495946</v>
      </c>
      <c r="D458" s="2">
        <v>-1.7091365852745091E-2</v>
      </c>
      <c r="E458" s="2">
        <v>-4.0224542006434046E-3</v>
      </c>
    </row>
    <row r="459" spans="1:5" x14ac:dyDescent="0.35">
      <c r="A459" s="1">
        <v>44851</v>
      </c>
      <c r="B459">
        <v>1657</v>
      </c>
      <c r="C459">
        <v>0.99634344229525307</v>
      </c>
      <c r="D459" s="2">
        <v>9.2764778685072626E-3</v>
      </c>
      <c r="E459" s="2">
        <v>-2.2542449035587537E-3</v>
      </c>
    </row>
    <row r="460" spans="1:5" x14ac:dyDescent="0.35">
      <c r="A460" s="1">
        <v>44852</v>
      </c>
      <c r="B460">
        <v>1649</v>
      </c>
      <c r="C460">
        <v>1.0045203131486047</v>
      </c>
      <c r="D460" s="2">
        <v>-4.8396948669639671E-3</v>
      </c>
      <c r="E460" s="2">
        <v>8.1733864705795869E-3</v>
      </c>
    </row>
    <row r="461" spans="1:5" x14ac:dyDescent="0.35">
      <c r="A461" s="1">
        <v>44853</v>
      </c>
      <c r="B461">
        <v>1627.5</v>
      </c>
      <c r="C461">
        <v>1.0063601961324402</v>
      </c>
      <c r="D461" s="2">
        <v>-1.3123948476874548E-2</v>
      </c>
      <c r="E461" s="2">
        <v>1.8299282217602729E-3</v>
      </c>
    </row>
    <row r="462" spans="1:5" x14ac:dyDescent="0.35">
      <c r="A462" s="1">
        <v>44854</v>
      </c>
      <c r="B462">
        <v>1630.800048828125</v>
      </c>
      <c r="C462">
        <v>0.99521304949117662</v>
      </c>
      <c r="D462" s="2">
        <v>2.02562680358335E-3</v>
      </c>
      <c r="E462" s="2">
        <v>-1.1138500091426532E-2</v>
      </c>
    </row>
    <row r="463" spans="1:5" x14ac:dyDescent="0.35">
      <c r="A463" s="1">
        <v>44855</v>
      </c>
      <c r="B463">
        <v>1651</v>
      </c>
      <c r="C463">
        <v>0.99620441326470932</v>
      </c>
      <c r="D463" s="2">
        <v>1.2310443033820328E-2</v>
      </c>
      <c r="E463" s="2">
        <v>9.9563639866359784E-4</v>
      </c>
    </row>
    <row r="464" spans="1:5" x14ac:dyDescent="0.35">
      <c r="A464" s="1">
        <v>44858</v>
      </c>
      <c r="B464">
        <v>1648.699951171875</v>
      </c>
      <c r="C464">
        <v>1.0021245220303281</v>
      </c>
      <c r="D464" s="2">
        <v>-1.3940959691325695E-3</v>
      </c>
      <c r="E464" s="2">
        <v>5.9250766784057548E-3</v>
      </c>
    </row>
    <row r="465" spans="1:5" x14ac:dyDescent="0.35">
      <c r="A465" s="1">
        <v>44859</v>
      </c>
      <c r="B465">
        <v>1652.800048828125</v>
      </c>
      <c r="C465">
        <v>1.0006003405468431</v>
      </c>
      <c r="D465" s="2">
        <v>2.4837799570480903E-3</v>
      </c>
      <c r="E465" s="2">
        <v>-1.5221080101775202E-3</v>
      </c>
    </row>
    <row r="466" spans="1:5" x14ac:dyDescent="0.35">
      <c r="A466" s="1">
        <v>44860</v>
      </c>
      <c r="B466">
        <v>1664</v>
      </c>
      <c r="C466">
        <v>1.0053585875615787</v>
      </c>
      <c r="D466" s="2">
        <v>6.7534934731103176E-3</v>
      </c>
      <c r="E466" s="2">
        <v>4.7441210011042187E-3</v>
      </c>
    </row>
    <row r="467" spans="1:5" x14ac:dyDescent="0.35">
      <c r="A467" s="1">
        <v>44861</v>
      </c>
      <c r="B467">
        <v>1660.699951171875</v>
      </c>
      <c r="C467">
        <v>1.0152180908723769</v>
      </c>
      <c r="D467" s="2">
        <v>-1.985171570581598E-3</v>
      </c>
      <c r="E467" s="2">
        <v>9.7591758518664889E-3</v>
      </c>
    </row>
    <row r="468" spans="1:5" x14ac:dyDescent="0.35">
      <c r="A468" s="1">
        <v>44862</v>
      </c>
      <c r="B468">
        <v>1639.5999755859375</v>
      </c>
      <c r="C468">
        <v>1.0096522645179049</v>
      </c>
      <c r="D468" s="2">
        <v>-1.2786876070645195E-2</v>
      </c>
      <c r="E468" s="2">
        <v>-5.4974782531692452E-3</v>
      </c>
    </row>
    <row r="469" spans="1:5" x14ac:dyDescent="0.35">
      <c r="A469" s="1">
        <v>44865</v>
      </c>
      <c r="B469">
        <v>1635.9000244140625</v>
      </c>
      <c r="C469">
        <v>1.0036029222014065</v>
      </c>
      <c r="D469" s="2">
        <v>-2.2591682158683152E-3</v>
      </c>
      <c r="E469" s="2">
        <v>-6.0095317892402593E-3</v>
      </c>
    </row>
    <row r="470" spans="1:5" x14ac:dyDescent="0.35">
      <c r="A470" s="1">
        <v>44866</v>
      </c>
      <c r="B470">
        <v>1645</v>
      </c>
      <c r="C470">
        <v>0.99859197784495946</v>
      </c>
      <c r="D470" s="2">
        <v>5.547257675413403E-3</v>
      </c>
      <c r="E470" s="2">
        <v>-5.0054615748075489E-3</v>
      </c>
    </row>
    <row r="471" spans="1:5" x14ac:dyDescent="0.35">
      <c r="A471" s="1">
        <v>44867</v>
      </c>
      <c r="B471">
        <v>1645.699951171875</v>
      </c>
      <c r="C471">
        <v>1.0003000801982664</v>
      </c>
      <c r="D471" s="2">
        <v>4.2541173173927561E-4</v>
      </c>
      <c r="E471" s="2">
        <v>1.7090495329080988E-3</v>
      </c>
    </row>
    <row r="472" spans="1:5" x14ac:dyDescent="0.35">
      <c r="A472" s="1">
        <v>44868</v>
      </c>
      <c r="B472">
        <v>1627.300048828125</v>
      </c>
      <c r="C472">
        <v>0.99673067991045283</v>
      </c>
      <c r="D472" s="2">
        <v>-1.1243566259035888E-2</v>
      </c>
      <c r="E472" s="2">
        <v>-3.5747111763080527E-3</v>
      </c>
    </row>
    <row r="473" spans="1:5" x14ac:dyDescent="0.35">
      <c r="A473" s="1">
        <v>44869</v>
      </c>
      <c r="B473">
        <v>1672.5</v>
      </c>
      <c r="C473">
        <v>0.98675772536598727</v>
      </c>
      <c r="D473" s="2">
        <v>2.739728333020796E-2</v>
      </c>
      <c r="E473" s="2">
        <v>-1.005605937514545E-2</v>
      </c>
    </row>
    <row r="474" spans="1:5" x14ac:dyDescent="0.35">
      <c r="A474" s="1">
        <v>44872</v>
      </c>
      <c r="B474">
        <v>1676.5</v>
      </c>
      <c r="C474">
        <v>1.0032706789083607</v>
      </c>
      <c r="D474" s="2">
        <v>2.3887739038996633E-3</v>
      </c>
      <c r="E474" s="2">
        <v>1.6596077240332959E-2</v>
      </c>
    </row>
    <row r="475" spans="1:5" x14ac:dyDescent="0.35">
      <c r="A475" s="1">
        <v>44873</v>
      </c>
      <c r="B475">
        <v>1712.0999755859375</v>
      </c>
      <c r="C475">
        <v>1.0112450667252217</v>
      </c>
      <c r="D475" s="2">
        <v>2.1012386044771139E-2</v>
      </c>
      <c r="E475" s="2">
        <v>7.9169691137180934E-3</v>
      </c>
    </row>
    <row r="476" spans="1:5" x14ac:dyDescent="0.35">
      <c r="A476" s="1">
        <v>44874</v>
      </c>
      <c r="B476">
        <v>1710.0999755859375</v>
      </c>
      <c r="C476">
        <v>1.0157956398303982</v>
      </c>
      <c r="D476" s="2">
        <v>-1.1688389084410285E-3</v>
      </c>
      <c r="E476" s="2">
        <v>4.4898760395245714E-3</v>
      </c>
    </row>
    <row r="477" spans="1:5" x14ac:dyDescent="0.35">
      <c r="A477" s="1">
        <v>44875</v>
      </c>
      <c r="B477">
        <v>1750.300048828125</v>
      </c>
      <c r="C477">
        <v>1.0167768135447934</v>
      </c>
      <c r="D477" s="2">
        <v>2.3235395651179536E-2</v>
      </c>
      <c r="E477" s="2">
        <v>9.6545024899660759E-4</v>
      </c>
    </row>
    <row r="478" spans="1:5" x14ac:dyDescent="0.35">
      <c r="A478" s="1">
        <v>44876</v>
      </c>
      <c r="B478">
        <v>1766</v>
      </c>
      <c r="C478">
        <v>1.0363661173611916</v>
      </c>
      <c r="D478" s="2">
        <v>8.9298724701124144E-3</v>
      </c>
      <c r="E478" s="2">
        <v>1.9082839269895509E-2</v>
      </c>
    </row>
    <row r="479" spans="1:5" x14ac:dyDescent="0.35">
      <c r="A479" s="1">
        <v>44879</v>
      </c>
      <c r="B479">
        <v>1773.5999755859375</v>
      </c>
      <c r="C479">
        <v>1.0592659129814501</v>
      </c>
      <c r="D479" s="2">
        <v>4.2942633729377826E-3</v>
      </c>
      <c r="E479" s="2">
        <v>2.1855656743510563E-2</v>
      </c>
    </row>
    <row r="480" spans="1:5" x14ac:dyDescent="0.35">
      <c r="A480" s="1">
        <v>44880</v>
      </c>
      <c r="B480">
        <v>1773.800048828125</v>
      </c>
      <c r="C480">
        <v>1.0602205346597346</v>
      </c>
      <c r="D480" s="2">
        <v>1.1279993292139435E-4</v>
      </c>
      <c r="E480" s="2">
        <v>9.0080476230380022E-4</v>
      </c>
    </row>
    <row r="481" spans="1:5" x14ac:dyDescent="0.35">
      <c r="A481" s="1">
        <v>44881</v>
      </c>
      <c r="B481">
        <v>1773</v>
      </c>
      <c r="C481">
        <v>1.0605465881934244</v>
      </c>
      <c r="D481" s="2">
        <v>-4.5113839555664572E-4</v>
      </c>
      <c r="E481" s="2">
        <v>3.0748641163394605E-4</v>
      </c>
    </row>
    <row r="482" spans="1:5" x14ac:dyDescent="0.35">
      <c r="A482" s="1">
        <v>44882</v>
      </c>
      <c r="B482">
        <v>1760.800048828125</v>
      </c>
      <c r="C482">
        <v>1.0588957999230879</v>
      </c>
      <c r="D482" s="2">
        <v>-6.9047481313083813E-3</v>
      </c>
      <c r="E482" s="2">
        <v>-1.5577574681060467E-3</v>
      </c>
    </row>
    <row r="483" spans="1:5" x14ac:dyDescent="0.35">
      <c r="A483" s="1">
        <v>44883</v>
      </c>
      <c r="B483">
        <v>1751.9000244140625</v>
      </c>
      <c r="C483">
        <v>1.0496704126139516</v>
      </c>
      <c r="D483" s="2">
        <v>-5.0673517653606753E-3</v>
      </c>
      <c r="E483" s="2">
        <v>-8.7504448473914274E-3</v>
      </c>
    </row>
    <row r="484" spans="1:5" x14ac:dyDescent="0.35">
      <c r="A484" s="1">
        <v>44886</v>
      </c>
      <c r="B484">
        <v>1737.4000244140625</v>
      </c>
      <c r="C484">
        <v>1.0489547382201687</v>
      </c>
      <c r="D484" s="2">
        <v>-8.3111702996510346E-3</v>
      </c>
      <c r="E484" s="2">
        <v>-6.8204121278309538E-4</v>
      </c>
    </row>
    <row r="485" spans="1:5" x14ac:dyDescent="0.35">
      <c r="A485" s="1">
        <v>44887</v>
      </c>
      <c r="B485">
        <v>1738.300048828125</v>
      </c>
      <c r="C485">
        <v>1.043373024779495</v>
      </c>
      <c r="D485" s="2">
        <v>5.1789533919112938E-4</v>
      </c>
      <c r="E485" s="2">
        <v>-5.3354228534085143E-3</v>
      </c>
    </row>
    <row r="486" spans="1:5" x14ac:dyDescent="0.35">
      <c r="A486" s="1">
        <v>44888</v>
      </c>
      <c r="B486">
        <v>1744.9000244140625</v>
      </c>
      <c r="C486">
        <v>1.0514252309477143</v>
      </c>
      <c r="D486" s="2">
        <v>3.7896091787737837E-3</v>
      </c>
      <c r="E486" s="2">
        <v>7.6878485126704822E-3</v>
      </c>
    </row>
    <row r="487" spans="1:5" x14ac:dyDescent="0.35">
      <c r="A487" s="1">
        <v>44890</v>
      </c>
      <c r="B487">
        <v>1753.300048828125</v>
      </c>
      <c r="C487">
        <v>1.0600294860935551</v>
      </c>
      <c r="D487" s="2">
        <v>4.8024929294994264E-3</v>
      </c>
      <c r="E487" s="2">
        <v>8.1501182138268725E-3</v>
      </c>
    </row>
    <row r="488" spans="1:5" x14ac:dyDescent="0.35">
      <c r="A488" s="1">
        <v>44893</v>
      </c>
      <c r="B488">
        <v>1740.0999755859375</v>
      </c>
      <c r="C488">
        <v>1.0555426474445495</v>
      </c>
      <c r="D488" s="2">
        <v>-7.557185534083681E-3</v>
      </c>
      <c r="E488" s="2">
        <v>-4.2417323477182507E-3</v>
      </c>
    </row>
    <row r="489" spans="1:5" x14ac:dyDescent="0.35">
      <c r="A489" s="1">
        <v>44894</v>
      </c>
      <c r="B489">
        <v>1748.4000244140625</v>
      </c>
      <c r="C489">
        <v>1.0539739936820172</v>
      </c>
      <c r="D489" s="2">
        <v>4.7585291615505022E-3</v>
      </c>
      <c r="E489" s="2">
        <v>-1.4872165699772986E-3</v>
      </c>
    </row>
    <row r="490" spans="1:5" x14ac:dyDescent="0.35">
      <c r="A490" s="1">
        <v>44895</v>
      </c>
      <c r="B490">
        <v>1746</v>
      </c>
      <c r="C490">
        <v>1.0478775241378169</v>
      </c>
      <c r="D490" s="2">
        <v>-1.3736405532714349E-3</v>
      </c>
      <c r="E490" s="2">
        <v>-5.8010631000388621E-3</v>
      </c>
    </row>
    <row r="491" spans="1:5" x14ac:dyDescent="0.35">
      <c r="A491" s="1">
        <v>44896</v>
      </c>
      <c r="B491">
        <v>1801.0999755859375</v>
      </c>
      <c r="C491">
        <v>1.0594566863852191</v>
      </c>
      <c r="D491" s="2">
        <v>3.1070118388379801E-2</v>
      </c>
      <c r="E491" s="2">
        <v>1.0989503917498573E-2</v>
      </c>
    </row>
    <row r="492" spans="1:5" x14ac:dyDescent="0.35">
      <c r="A492" s="1">
        <v>44897</v>
      </c>
      <c r="B492">
        <v>1795.9000244140625</v>
      </c>
      <c r="C492">
        <v>1.0679311168154688</v>
      </c>
      <c r="D492" s="2">
        <v>-2.8912731689037141E-3</v>
      </c>
      <c r="E492" s="2">
        <v>7.9670243879213093E-3</v>
      </c>
    </row>
    <row r="493" spans="1:5" x14ac:dyDescent="0.35">
      <c r="A493" s="1">
        <v>44900</v>
      </c>
      <c r="B493">
        <v>1767.4000244140625</v>
      </c>
      <c r="C493">
        <v>1.0678626676402505</v>
      </c>
      <c r="D493" s="2">
        <v>-1.5996748721572914E-2</v>
      </c>
      <c r="E493" s="2">
        <v>-6.4097176178671905E-5</v>
      </c>
    </row>
    <row r="494" spans="1:5" x14ac:dyDescent="0.35">
      <c r="A494" s="1">
        <v>44901</v>
      </c>
      <c r="B494">
        <v>1769.300048828125</v>
      </c>
      <c r="C494">
        <v>1.0612331285429197</v>
      </c>
      <c r="D494" s="2">
        <v>1.0744618189316108E-3</v>
      </c>
      <c r="E494" s="2">
        <v>-6.2275831225672715E-3</v>
      </c>
    </row>
    <row r="495" spans="1:5" x14ac:dyDescent="0.35">
      <c r="A495" s="1">
        <v>44902</v>
      </c>
      <c r="B495">
        <v>1785.5</v>
      </c>
      <c r="C495">
        <v>1.0615373041374365</v>
      </c>
      <c r="D495" s="2">
        <v>9.1144723181207678E-3</v>
      </c>
      <c r="E495" s="2">
        <v>2.8658360029495494E-4</v>
      </c>
    </row>
    <row r="496" spans="1:5" x14ac:dyDescent="0.35">
      <c r="A496" s="1">
        <v>44903</v>
      </c>
      <c r="B496">
        <v>1788.699951171875</v>
      </c>
      <c r="C496">
        <v>1.0635242993188068</v>
      </c>
      <c r="D496" s="2">
        <v>1.7905836665891154E-3</v>
      </c>
      <c r="E496" s="2">
        <v>1.8700594441143257E-3</v>
      </c>
    </row>
    <row r="497" spans="1:5" x14ac:dyDescent="0.35">
      <c r="A497" s="1">
        <v>44904</v>
      </c>
      <c r="B497">
        <v>1798.0999755859375</v>
      </c>
      <c r="C497">
        <v>1.0685359170123161</v>
      </c>
      <c r="D497" s="2">
        <v>5.2414665587995754E-3</v>
      </c>
      <c r="E497" s="2">
        <v>4.7012057965391402E-3</v>
      </c>
    </row>
    <row r="498" spans="1:5" x14ac:dyDescent="0.35">
      <c r="A498" s="1">
        <v>44907</v>
      </c>
      <c r="B498">
        <v>1780.5</v>
      </c>
      <c r="C498">
        <v>1.0695301682099334</v>
      </c>
      <c r="D498" s="2">
        <v>-9.8363145420593528E-3</v>
      </c>
      <c r="E498" s="2">
        <v>9.3004727604756722E-4</v>
      </c>
    </row>
    <row r="499" spans="1:5" x14ac:dyDescent="0.35">
      <c r="A499" s="1">
        <v>44908</v>
      </c>
      <c r="B499">
        <v>1813.9000244140625</v>
      </c>
      <c r="C499">
        <v>1.0686729287618306</v>
      </c>
      <c r="D499" s="2">
        <v>1.858501310552256E-2</v>
      </c>
      <c r="E499" s="2">
        <v>-8.0183168310425277E-4</v>
      </c>
    </row>
    <row r="500" spans="1:5" x14ac:dyDescent="0.35">
      <c r="A500" s="1">
        <v>44909</v>
      </c>
      <c r="B500">
        <v>1807.5</v>
      </c>
      <c r="C500">
        <v>1.0764494474357196</v>
      </c>
      <c r="D500" s="2">
        <v>-3.5345617904352757E-3</v>
      </c>
      <c r="E500" s="2">
        <v>7.2504513748602077E-3</v>
      </c>
    </row>
    <row r="501" spans="1:5" x14ac:dyDescent="0.35">
      <c r="A501" s="1">
        <v>44910</v>
      </c>
      <c r="B501">
        <v>1777.199951171875</v>
      </c>
      <c r="C501">
        <v>1.0818412666478376</v>
      </c>
      <c r="D501" s="2">
        <v>-1.6905610445916298E-2</v>
      </c>
      <c r="E501" s="2">
        <v>4.996389405439612E-3</v>
      </c>
    </row>
    <row r="502" spans="1:5" x14ac:dyDescent="0.35">
      <c r="A502" s="1">
        <v>44911</v>
      </c>
      <c r="B502">
        <v>1790</v>
      </c>
      <c r="C502">
        <v>1.07800437403141</v>
      </c>
      <c r="D502" s="2">
        <v>7.1765552477973159E-3</v>
      </c>
      <c r="E502" s="2">
        <v>-3.5529359879853777E-3</v>
      </c>
    </row>
    <row r="503" spans="1:5" x14ac:dyDescent="0.35">
      <c r="A503" s="1">
        <v>44914</v>
      </c>
      <c r="B503">
        <v>1787.699951171875</v>
      </c>
      <c r="C503">
        <v>1.0699993258778528</v>
      </c>
      <c r="D503" s="2">
        <v>-1.2857697271356746E-3</v>
      </c>
      <c r="E503" s="2">
        <v>-7.4535115687074834E-3</v>
      </c>
    </row>
    <row r="504" spans="1:5" x14ac:dyDescent="0.35">
      <c r="A504" s="1">
        <v>44915</v>
      </c>
      <c r="B504">
        <v>1815.9000244140625</v>
      </c>
      <c r="C504">
        <v>1.0767391902604524</v>
      </c>
      <c r="D504" s="2">
        <v>1.5651375902693578E-2</v>
      </c>
      <c r="E504" s="2">
        <v>6.2791872200297812E-3</v>
      </c>
    </row>
    <row r="505" spans="1:5" x14ac:dyDescent="0.35">
      <c r="A505" s="1">
        <v>44916</v>
      </c>
      <c r="B505">
        <v>1815.9000244140625</v>
      </c>
      <c r="C505">
        <v>1.0796920500756488</v>
      </c>
      <c r="D505" s="2">
        <v>0</v>
      </c>
      <c r="E505" s="2">
        <v>2.7386559845344093E-3</v>
      </c>
    </row>
    <row r="506" spans="1:5" x14ac:dyDescent="0.35">
      <c r="A506" s="1">
        <v>44917</v>
      </c>
      <c r="B506">
        <v>1787</v>
      </c>
      <c r="C506">
        <v>1.0795638687616769</v>
      </c>
      <c r="D506" s="2">
        <v>-1.6042989850930472E-2</v>
      </c>
      <c r="E506" s="2">
        <v>-1.1872730138585222E-4</v>
      </c>
    </row>
    <row r="507" spans="1:5" x14ac:dyDescent="0.35">
      <c r="A507" s="1">
        <v>44918</v>
      </c>
      <c r="B507">
        <v>1795.9000244140625</v>
      </c>
      <c r="C507">
        <v>1.0741138626703854</v>
      </c>
      <c r="D507" s="2">
        <v>4.9680664595954851E-3</v>
      </c>
      <c r="E507" s="2">
        <v>-5.0611265048976116E-3</v>
      </c>
    </row>
    <row r="508" spans="1:5" x14ac:dyDescent="0.35">
      <c r="A508" s="1">
        <v>44922</v>
      </c>
      <c r="B508">
        <v>1814.800048828125</v>
      </c>
      <c r="C508">
        <v>1.0729498668278958</v>
      </c>
      <c r="D508" s="2">
        <v>1.0468993076297851E-2</v>
      </c>
      <c r="E508" s="2">
        <v>-1.0842677285578233E-3</v>
      </c>
    </row>
    <row r="509" spans="1:5" x14ac:dyDescent="0.35">
      <c r="A509" s="1">
        <v>44923</v>
      </c>
      <c r="B509">
        <v>1807.9000244140625</v>
      </c>
      <c r="C509">
        <v>1.076194583379759</v>
      </c>
      <c r="D509" s="2">
        <v>-3.8093315032526956E-3</v>
      </c>
      <c r="E509" s="2">
        <v>3.0195448397140898E-3</v>
      </c>
    </row>
    <row r="510" spans="1:5" x14ac:dyDescent="0.35">
      <c r="A510" s="1">
        <v>44924</v>
      </c>
      <c r="B510">
        <v>1819.5</v>
      </c>
      <c r="C510">
        <v>1.0779230616861271</v>
      </c>
      <c r="D510" s="2">
        <v>6.3957738601456895E-3</v>
      </c>
      <c r="E510" s="2">
        <v>1.6048136287182093E-3</v>
      </c>
    </row>
    <row r="511" spans="1:5" x14ac:dyDescent="0.35">
      <c r="A511" s="1">
        <v>44925</v>
      </c>
      <c r="B511">
        <v>1819.699951171875</v>
      </c>
      <c r="C511">
        <v>1.0835997032588436</v>
      </c>
      <c r="D511" s="2">
        <v>1.0988743391904061E-4</v>
      </c>
      <c r="E511" s="2">
        <v>5.2524587901872557E-3</v>
      </c>
    </row>
    <row r="512" spans="1:5" x14ac:dyDescent="0.35">
      <c r="A512" s="1">
        <v>44929</v>
      </c>
      <c r="B512">
        <v>1839.699951171875</v>
      </c>
      <c r="C512">
        <v>1.0822510532088843</v>
      </c>
      <c r="D512" s="2">
        <v>1.0930862804251935E-2</v>
      </c>
      <c r="E512" s="2">
        <v>-1.2453768757988532E-3</v>
      </c>
    </row>
    <row r="513" spans="1:5" x14ac:dyDescent="0.35">
      <c r="A513" s="1">
        <v>44930</v>
      </c>
      <c r="B513">
        <v>1852.800048828125</v>
      </c>
      <c r="C513">
        <v>1.0686043844635826</v>
      </c>
      <c r="D513" s="2">
        <v>7.0955464419848379E-3</v>
      </c>
      <c r="E513" s="2">
        <v>-1.2689696974419958E-2</v>
      </c>
    </row>
    <row r="514" spans="1:5" x14ac:dyDescent="0.35">
      <c r="A514" s="1">
        <v>44931</v>
      </c>
      <c r="B514">
        <v>1834.800048828125</v>
      </c>
      <c r="C514">
        <v>1.0757430847992926</v>
      </c>
      <c r="D514" s="2">
        <v>-9.7625243971206383E-3</v>
      </c>
      <c r="E514" s="2">
        <v>6.6581809248575227E-3</v>
      </c>
    </row>
    <row r="515" spans="1:5" x14ac:dyDescent="0.35">
      <c r="A515" s="1">
        <v>44932</v>
      </c>
      <c r="B515">
        <v>1864.199951171875</v>
      </c>
      <c r="C515">
        <v>1.0685701496412052</v>
      </c>
      <c r="D515" s="2">
        <v>1.589647009927115E-2</v>
      </c>
      <c r="E515" s="2">
        <v>-6.6902183853773754E-3</v>
      </c>
    </row>
    <row r="516" spans="1:5" x14ac:dyDescent="0.35">
      <c r="A516" s="1">
        <v>44935</v>
      </c>
      <c r="B516">
        <v>1872.699951171875</v>
      </c>
      <c r="C516">
        <v>1.0788999670617245</v>
      </c>
      <c r="D516" s="2">
        <v>4.5492332582912328E-3</v>
      </c>
      <c r="E516" s="2">
        <v>9.6205269751372512E-3</v>
      </c>
    </row>
    <row r="517" spans="1:5" x14ac:dyDescent="0.35">
      <c r="A517" s="1">
        <v>44936</v>
      </c>
      <c r="B517">
        <v>1871.5999755859375</v>
      </c>
      <c r="C517">
        <v>1.0858588270959872</v>
      </c>
      <c r="D517" s="2">
        <v>-5.875467452382744E-4</v>
      </c>
      <c r="E517" s="2">
        <v>6.4292465502601426E-3</v>
      </c>
    </row>
    <row r="518" spans="1:5" x14ac:dyDescent="0.35">
      <c r="A518" s="1">
        <v>44937</v>
      </c>
      <c r="B518">
        <v>1874.5999755859375</v>
      </c>
      <c r="C518">
        <v>1.0843164247554713</v>
      </c>
      <c r="D518" s="2">
        <v>1.6016233411999265E-3</v>
      </c>
      <c r="E518" s="2">
        <v>-1.4214544183988908E-3</v>
      </c>
    </row>
    <row r="519" spans="1:5" x14ac:dyDescent="0.35">
      <c r="A519" s="1">
        <v>44938</v>
      </c>
      <c r="B519">
        <v>1895.5</v>
      </c>
      <c r="C519">
        <v>1.0742061560561922</v>
      </c>
      <c r="D519" s="2">
        <v>1.108736566761589E-2</v>
      </c>
      <c r="E519" s="2">
        <v>-9.3678358760169028E-3</v>
      </c>
    </row>
    <row r="520" spans="1:5" x14ac:dyDescent="0.35">
      <c r="A520" s="1">
        <v>44939</v>
      </c>
      <c r="B520">
        <v>1918.4000244140625</v>
      </c>
      <c r="C520">
        <v>1.0785159395172295</v>
      </c>
      <c r="D520" s="2">
        <v>1.2008862043122856E-2</v>
      </c>
      <c r="E520" s="2">
        <v>4.0040367754668963E-3</v>
      </c>
    </row>
    <row r="521" spans="1:5" x14ac:dyDescent="0.35">
      <c r="A521" s="1">
        <v>44943</v>
      </c>
      <c r="B521">
        <v>1907.199951171875</v>
      </c>
      <c r="C521">
        <v>1.0806254600505441</v>
      </c>
      <c r="D521" s="2">
        <v>-5.8553457304772721E-3</v>
      </c>
      <c r="E521" s="2">
        <v>1.9540371047137546E-3</v>
      </c>
    </row>
    <row r="522" spans="1:5" x14ac:dyDescent="0.35">
      <c r="A522" s="1">
        <v>44944</v>
      </c>
      <c r="B522">
        <v>1904.4000244140625</v>
      </c>
      <c r="C522">
        <v>1.0846928132219487</v>
      </c>
      <c r="D522" s="2">
        <v>-1.4691611288529948E-3</v>
      </c>
      <c r="E522" s="2">
        <v>3.7568222698684543E-3</v>
      </c>
    </row>
    <row r="523" spans="1:5" x14ac:dyDescent="0.35">
      <c r="A523" s="1">
        <v>44945</v>
      </c>
      <c r="B523">
        <v>1922.0999755859375</v>
      </c>
      <c r="C523">
        <v>1.091774586233041</v>
      </c>
      <c r="D523" s="2">
        <v>9.2513144711382292E-3</v>
      </c>
      <c r="E523" s="2">
        <v>6.507607699513732E-3</v>
      </c>
    </row>
    <row r="524" spans="1:5" x14ac:dyDescent="0.35">
      <c r="A524" s="1">
        <v>44946</v>
      </c>
      <c r="B524">
        <v>1926.4000244140625</v>
      </c>
      <c r="C524">
        <v>1.0922993076420708</v>
      </c>
      <c r="D524" s="2">
        <v>2.2346631765941872E-3</v>
      </c>
      <c r="E524" s="2">
        <v>4.804978628212162E-4</v>
      </c>
    </row>
    <row r="525" spans="1:5" x14ac:dyDescent="0.35">
      <c r="A525" s="1">
        <v>44949</v>
      </c>
      <c r="B525">
        <v>1927.0999755859375</v>
      </c>
      <c r="C525">
        <v>1.0870865154087039</v>
      </c>
      <c r="D525" s="2">
        <v>3.6328074715077609E-4</v>
      </c>
      <c r="E525" s="2">
        <v>-4.7837350496420204E-3</v>
      </c>
    </row>
    <row r="526" spans="1:5" x14ac:dyDescent="0.35">
      <c r="A526" s="1">
        <v>44950</v>
      </c>
      <c r="B526">
        <v>1933.9000244140625</v>
      </c>
      <c r="C526">
        <v>1.0849870113005469</v>
      </c>
      <c r="D526" s="2">
        <v>3.5224324574504432E-3</v>
      </c>
      <c r="E526" s="2">
        <v>-1.9331801950469713E-3</v>
      </c>
    </row>
    <row r="527" spans="1:5" x14ac:dyDescent="0.35">
      <c r="A527" s="1">
        <v>44951</v>
      </c>
      <c r="B527">
        <v>1941.199951171875</v>
      </c>
      <c r="C527">
        <v>1.0842459291700601</v>
      </c>
      <c r="D527" s="2">
        <v>3.7676113849673129E-3</v>
      </c>
      <c r="E527" s="2">
        <v>-6.8326655518827456E-4</v>
      </c>
    </row>
    <row r="528" spans="1:5" x14ac:dyDescent="0.35">
      <c r="A528" s="1">
        <v>44952</v>
      </c>
      <c r="B528">
        <v>1929.0999755859375</v>
      </c>
      <c r="C528">
        <v>1.0905482012589016</v>
      </c>
      <c r="D528" s="2">
        <v>-6.2527531393145016E-3</v>
      </c>
      <c r="E528" s="2">
        <v>5.7957575314233831E-3</v>
      </c>
    </row>
    <row r="529" spans="1:5" x14ac:dyDescent="0.35">
      <c r="A529" s="1">
        <v>44953</v>
      </c>
      <c r="B529">
        <v>1928.5999755859375</v>
      </c>
      <c r="C529">
        <v>1.0867202896881631</v>
      </c>
      <c r="D529" s="2">
        <v>-2.5922182084070467E-4</v>
      </c>
      <c r="E529" s="2">
        <v>-3.5162549136170188E-3</v>
      </c>
    </row>
    <row r="530" spans="1:5" x14ac:dyDescent="0.35">
      <c r="A530" s="1">
        <v>44956</v>
      </c>
      <c r="B530">
        <v>1922.9000244140625</v>
      </c>
      <c r="C530">
        <v>1.0859414114415726</v>
      </c>
      <c r="D530" s="2">
        <v>-2.9598625643060456E-3</v>
      </c>
      <c r="E530" s="2">
        <v>-7.1698072419779677E-4</v>
      </c>
    </row>
    <row r="531" spans="1:5" x14ac:dyDescent="0.35">
      <c r="A531" s="1">
        <v>44957</v>
      </c>
      <c r="B531">
        <v>1929.5</v>
      </c>
      <c r="C531">
        <v>1.08075396321812</v>
      </c>
      <c r="D531" s="2">
        <v>3.4264261246514465E-3</v>
      </c>
      <c r="E531" s="2">
        <v>-4.7883594489280742E-3</v>
      </c>
    </row>
    <row r="532" spans="1:5" x14ac:dyDescent="0.35">
      <c r="A532" s="1">
        <v>44958</v>
      </c>
      <c r="B532">
        <v>1927.800048828125</v>
      </c>
      <c r="C532">
        <v>1.0914051955344624</v>
      </c>
      <c r="D532" s="2">
        <v>-8.8142029938764104E-4</v>
      </c>
      <c r="E532" s="2">
        <v>9.8071245310363299E-3</v>
      </c>
    </row>
    <row r="533" spans="1:5" x14ac:dyDescent="0.35">
      <c r="A533" s="1">
        <v>44959</v>
      </c>
      <c r="B533">
        <v>1916.300048828125</v>
      </c>
      <c r="C533">
        <v>1.1022198699624612</v>
      </c>
      <c r="D533" s="2">
        <v>-5.9832127234186521E-3</v>
      </c>
      <c r="E533" s="2">
        <v>9.8601736619198539E-3</v>
      </c>
    </row>
    <row r="534" spans="1:5" x14ac:dyDescent="0.35">
      <c r="A534" s="1">
        <v>44960</v>
      </c>
      <c r="B534">
        <v>1862.9000244140625</v>
      </c>
      <c r="C534">
        <v>1.0950503473869839</v>
      </c>
      <c r="D534" s="2">
        <v>-2.8261842553797479E-2</v>
      </c>
      <c r="E534" s="2">
        <v>-6.525868291356784E-3</v>
      </c>
    </row>
    <row r="535" spans="1:5" x14ac:dyDescent="0.35">
      <c r="A535" s="1">
        <v>44963</v>
      </c>
      <c r="B535">
        <v>1866.199951171875</v>
      </c>
      <c r="C535">
        <v>1.0795289281330098</v>
      </c>
      <c r="D535" s="2">
        <v>1.7698252343863036E-3</v>
      </c>
      <c r="E535" s="2">
        <v>-1.4275573231925532E-2</v>
      </c>
    </row>
    <row r="536" spans="1:5" x14ac:dyDescent="0.35">
      <c r="A536" s="1">
        <v>44964</v>
      </c>
      <c r="B536">
        <v>1871.699951171875</v>
      </c>
      <c r="C536">
        <v>1.0777372113900652</v>
      </c>
      <c r="D536" s="2">
        <v>2.9428310618131773E-3</v>
      </c>
      <c r="E536" s="2">
        <v>-1.6610997800428923E-3</v>
      </c>
    </row>
    <row r="537" spans="1:5" x14ac:dyDescent="0.35">
      <c r="A537" s="1">
        <v>44965</v>
      </c>
      <c r="B537">
        <v>1877.4000244140625</v>
      </c>
      <c r="C537">
        <v>1.085010587722562</v>
      </c>
      <c r="D537" s="2">
        <v>3.0407712098100251E-3</v>
      </c>
      <c r="E537" s="2">
        <v>6.7260766661320212E-3</v>
      </c>
    </row>
    <row r="538" spans="1:5" x14ac:dyDescent="0.35">
      <c r="A538" s="1">
        <v>44966</v>
      </c>
      <c r="B538">
        <v>1866.199951171875</v>
      </c>
      <c r="C538">
        <v>1.0858824414221957</v>
      </c>
      <c r="D538" s="2">
        <v>-5.9836022716233082E-3</v>
      </c>
      <c r="E538" s="2">
        <v>8.0322128709514671E-4</v>
      </c>
    </row>
    <row r="539" spans="1:5" x14ac:dyDescent="0.35">
      <c r="A539" s="1">
        <v>44967</v>
      </c>
      <c r="B539">
        <v>1862.800048828125</v>
      </c>
      <c r="C539">
        <v>1.0846292806570299</v>
      </c>
      <c r="D539" s="2">
        <v>-1.8234933150134012E-3</v>
      </c>
      <c r="E539" s="2">
        <v>-1.1547147077453984E-3</v>
      </c>
    </row>
    <row r="540" spans="1:5" x14ac:dyDescent="0.35">
      <c r="A540" s="1">
        <v>44970</v>
      </c>
      <c r="B540">
        <v>1851.9000244140625</v>
      </c>
      <c r="C540">
        <v>1.0824971300678048</v>
      </c>
      <c r="D540" s="2">
        <v>-5.8686060692318973E-3</v>
      </c>
      <c r="E540" s="2">
        <v>-1.9677221103806619E-3</v>
      </c>
    </row>
    <row r="541" spans="1:5" x14ac:dyDescent="0.35">
      <c r="A541" s="1">
        <v>44971</v>
      </c>
      <c r="B541">
        <v>1854</v>
      </c>
      <c r="C541">
        <v>1.0885894172848152</v>
      </c>
      <c r="D541" s="2">
        <v>1.1333148745895825E-3</v>
      </c>
      <c r="E541" s="2">
        <v>5.6122158880722159E-3</v>
      </c>
    </row>
    <row r="542" spans="1:5" x14ac:dyDescent="0.35">
      <c r="A542" s="1">
        <v>44972</v>
      </c>
      <c r="B542">
        <v>1834.199951171875</v>
      </c>
      <c r="C542">
        <v>1.0851518572111962</v>
      </c>
      <c r="D542" s="2">
        <v>-1.07370746218953E-2</v>
      </c>
      <c r="E542" s="2">
        <v>-3.1628078093235055E-3</v>
      </c>
    </row>
    <row r="543" spans="1:5" x14ac:dyDescent="0.35">
      <c r="A543" s="1">
        <v>44973</v>
      </c>
      <c r="B543">
        <v>1842</v>
      </c>
      <c r="C543">
        <v>1.0830012245496052</v>
      </c>
      <c r="D543" s="2">
        <v>4.2435453113469548E-3</v>
      </c>
      <c r="E543" s="2">
        <v>-1.9838390425672837E-3</v>
      </c>
    </row>
    <row r="544" spans="1:5" x14ac:dyDescent="0.35">
      <c r="A544" s="1">
        <v>44974</v>
      </c>
      <c r="B544">
        <v>1840.4000244140625</v>
      </c>
      <c r="C544">
        <v>1.0793773828410993</v>
      </c>
      <c r="D544" s="2">
        <v>-8.6898526831033832E-4</v>
      </c>
      <c r="E544" s="2">
        <v>-3.351721191330554E-3</v>
      </c>
    </row>
    <row r="545" spans="1:5" x14ac:dyDescent="0.35">
      <c r="A545" s="1">
        <v>44978</v>
      </c>
      <c r="B545">
        <v>1833</v>
      </c>
      <c r="C545">
        <v>1.0832123932829687</v>
      </c>
      <c r="D545" s="2">
        <v>-4.0289837072367907E-3</v>
      </c>
      <c r="E545" s="2">
        <v>3.5466869438251351E-3</v>
      </c>
    </row>
    <row r="546" spans="1:5" x14ac:dyDescent="0.35">
      <c r="A546" s="1">
        <v>44979</v>
      </c>
      <c r="B546">
        <v>1832</v>
      </c>
      <c r="C546">
        <v>1.078167104817032</v>
      </c>
      <c r="D546" s="2">
        <v>-5.4570260562946402E-4</v>
      </c>
      <c r="E546" s="2">
        <v>-4.6685902537547241E-3</v>
      </c>
    </row>
    <row r="547" spans="1:5" x14ac:dyDescent="0.35">
      <c r="A547" s="1">
        <v>44980</v>
      </c>
      <c r="B547">
        <v>1818</v>
      </c>
      <c r="C547">
        <v>1.07383700891247</v>
      </c>
      <c r="D547" s="2">
        <v>-7.6712704966514795E-3</v>
      </c>
      <c r="E547" s="2">
        <v>-4.0242504376388844E-3</v>
      </c>
    </row>
    <row r="548" spans="1:5" x14ac:dyDescent="0.35">
      <c r="A548" s="1">
        <v>44981</v>
      </c>
      <c r="B548">
        <v>1808.800048828125</v>
      </c>
      <c r="C548">
        <v>1.0710192758644441</v>
      </c>
      <c r="D548" s="2">
        <v>-5.0733267789026528E-3</v>
      </c>
      <c r="E548" s="2">
        <v>-2.6274344710386023E-3</v>
      </c>
    </row>
    <row r="549" spans="1:5" x14ac:dyDescent="0.35">
      <c r="A549" s="1">
        <v>44984</v>
      </c>
      <c r="B549">
        <v>1817</v>
      </c>
      <c r="C549">
        <v>1.0637958603484883</v>
      </c>
      <c r="D549" s="2">
        <v>4.5231204376497414E-3</v>
      </c>
      <c r="E549" s="2">
        <v>-6.7672773725374943E-3</v>
      </c>
    </row>
    <row r="550" spans="1:5" x14ac:dyDescent="0.35">
      <c r="A550" s="1">
        <v>44985</v>
      </c>
      <c r="B550">
        <v>1828.9000244140625</v>
      </c>
      <c r="C550">
        <v>1.0688328542642838</v>
      </c>
      <c r="D550" s="2">
        <v>6.5279171634006284E-3</v>
      </c>
      <c r="E550" s="2">
        <v>4.7237507846478732E-3</v>
      </c>
    </row>
    <row r="551" spans="1:5" x14ac:dyDescent="0.35">
      <c r="A551" s="1">
        <v>44986</v>
      </c>
      <c r="B551">
        <v>1837.699951171875</v>
      </c>
      <c r="C551">
        <v>1.0617198932054028</v>
      </c>
      <c r="D551" s="2">
        <v>4.8000565715693279E-3</v>
      </c>
      <c r="E551" s="2">
        <v>-6.6771287351216338E-3</v>
      </c>
    </row>
    <row r="552" spans="1:5" x14ac:dyDescent="0.35">
      <c r="A552" s="1">
        <v>44987</v>
      </c>
      <c r="B552">
        <v>1833.5</v>
      </c>
      <c r="C552">
        <v>1.0644299523445804</v>
      </c>
      <c r="D552" s="2">
        <v>-2.2880546197603423E-3</v>
      </c>
      <c r="E552" s="2">
        <v>2.549265859617044E-3</v>
      </c>
    </row>
    <row r="553" spans="1:5" x14ac:dyDescent="0.35">
      <c r="A553" s="1">
        <v>44988</v>
      </c>
      <c r="B553">
        <v>1847.699951171875</v>
      </c>
      <c r="C553">
        <v>1.0617176759636593</v>
      </c>
      <c r="D553" s="2">
        <v>7.7148874232907012E-3</v>
      </c>
      <c r="E553" s="2">
        <v>-2.5513542108600061E-3</v>
      </c>
    </row>
    <row r="554" spans="1:5" x14ac:dyDescent="0.35">
      <c r="A554" s="1">
        <v>44991</v>
      </c>
      <c r="B554">
        <v>1847.9000244140625</v>
      </c>
      <c r="C554">
        <v>1.0674637027565748</v>
      </c>
      <c r="D554" s="2">
        <v>1.0827646049621364E-4</v>
      </c>
      <c r="E554" s="2">
        <v>5.3974178055765411E-3</v>
      </c>
    </row>
    <row r="555" spans="1:5" x14ac:dyDescent="0.35">
      <c r="A555" s="1">
        <v>44992</v>
      </c>
      <c r="B555">
        <v>1813.9000244140625</v>
      </c>
      <c r="C555">
        <v>1.0744716395206548</v>
      </c>
      <c r="D555" s="2">
        <v>-1.8570635571812499E-2</v>
      </c>
      <c r="E555" s="2">
        <v>6.5435791935235521E-3</v>
      </c>
    </row>
    <row r="556" spans="1:5" x14ac:dyDescent="0.35">
      <c r="A556" s="1">
        <v>44993</v>
      </c>
      <c r="B556">
        <v>1812.699951171875</v>
      </c>
      <c r="C556">
        <v>1.061312009441298</v>
      </c>
      <c r="D556" s="2">
        <v>-6.618172911648265E-4</v>
      </c>
      <c r="E556" s="2">
        <v>-1.2323155129141491E-2</v>
      </c>
    </row>
    <row r="557" spans="1:5" x14ac:dyDescent="0.35">
      <c r="A557" s="1">
        <v>44994</v>
      </c>
      <c r="B557">
        <v>1829.300048828125</v>
      </c>
      <c r="C557">
        <v>1.0628461039307822</v>
      </c>
      <c r="D557" s="2">
        <v>9.1159871573076867E-3</v>
      </c>
      <c r="E557" s="2">
        <v>1.4444261437510531E-3</v>
      </c>
    </row>
    <row r="558" spans="1:5" x14ac:dyDescent="0.35">
      <c r="A558" s="1">
        <v>44995</v>
      </c>
      <c r="B558">
        <v>1862</v>
      </c>
      <c r="C558">
        <v>1.0719837021215637</v>
      </c>
      <c r="D558" s="2">
        <v>1.7717772147514535E-2</v>
      </c>
      <c r="E558" s="2">
        <v>8.5605456391080175E-3</v>
      </c>
    </row>
    <row r="559" spans="1:5" x14ac:dyDescent="0.35">
      <c r="A559" s="1">
        <v>44998</v>
      </c>
      <c r="B559">
        <v>1911.699951171875</v>
      </c>
      <c r="C559">
        <v>1.0888501865403444</v>
      </c>
      <c r="D559" s="2">
        <v>2.6341694156230083E-2</v>
      </c>
      <c r="E559" s="2">
        <v>1.5611405447257469E-2</v>
      </c>
    </row>
    <row r="560" spans="1:5" x14ac:dyDescent="0.35">
      <c r="A560" s="1">
        <v>44999</v>
      </c>
      <c r="B560">
        <v>1906.199951171875</v>
      </c>
      <c r="C560">
        <v>1.0959011915755239</v>
      </c>
      <c r="D560" s="2">
        <v>-2.8811671051432153E-3</v>
      </c>
      <c r="E560" s="2">
        <v>6.4547660542827118E-3</v>
      </c>
    </row>
    <row r="561" spans="1:5" x14ac:dyDescent="0.35">
      <c r="A561" s="1">
        <v>45000</v>
      </c>
      <c r="B561">
        <v>1926.5999755859375</v>
      </c>
      <c r="C561">
        <v>1.0934937146918247</v>
      </c>
      <c r="D561" s="2">
        <v>1.0645072763326822E-2</v>
      </c>
      <c r="E561" s="2">
        <v>-2.1992175528796924E-3</v>
      </c>
    </row>
    <row r="562" spans="1:5" x14ac:dyDescent="0.35">
      <c r="A562" s="1">
        <v>45001</v>
      </c>
      <c r="B562">
        <v>1919</v>
      </c>
      <c r="C562">
        <v>1.0740792739299663</v>
      </c>
      <c r="D562" s="2">
        <v>-3.9525616437260866E-3</v>
      </c>
      <c r="E562" s="2">
        <v>-1.7914008021323171E-2</v>
      </c>
    </row>
    <row r="563" spans="1:5" x14ac:dyDescent="0.35">
      <c r="A563" s="1">
        <v>45002</v>
      </c>
      <c r="B563">
        <v>1969.800048828125</v>
      </c>
      <c r="C563">
        <v>1.0762293084958092</v>
      </c>
      <c r="D563" s="2">
        <v>2.6127822516268665E-2</v>
      </c>
      <c r="E563" s="2">
        <v>1.9997458038449661E-3</v>
      </c>
    </row>
    <row r="564" spans="1:5" x14ac:dyDescent="0.35">
      <c r="A564" s="1">
        <v>45005</v>
      </c>
      <c r="B564">
        <v>1979.199951171875</v>
      </c>
      <c r="C564">
        <v>1.0790513089141276</v>
      </c>
      <c r="D564" s="2">
        <v>4.7606584436176011E-3</v>
      </c>
      <c r="E564" s="2">
        <v>2.6186864097254869E-3</v>
      </c>
    </row>
    <row r="565" spans="1:5" x14ac:dyDescent="0.35">
      <c r="A565" s="1">
        <v>45006</v>
      </c>
      <c r="B565">
        <v>1938</v>
      </c>
      <c r="C565">
        <v>1.076194583379759</v>
      </c>
      <c r="D565" s="2">
        <v>-2.1036184516874452E-2</v>
      </c>
      <c r="E565" s="2">
        <v>-2.6509524667826987E-3</v>
      </c>
    </row>
    <row r="566" spans="1:5" x14ac:dyDescent="0.35">
      <c r="A566" s="1">
        <v>45007</v>
      </c>
      <c r="B566">
        <v>1946.800048828125</v>
      </c>
      <c r="C566">
        <v>1.0852225408499168</v>
      </c>
      <c r="D566" s="2">
        <v>4.5305105898103123E-3</v>
      </c>
      <c r="E566" s="2">
        <v>8.3537877726660541E-3</v>
      </c>
    </row>
    <row r="567" spans="1:5" x14ac:dyDescent="0.35">
      <c r="A567" s="1">
        <v>45008</v>
      </c>
      <c r="B567">
        <v>1993.800048828125</v>
      </c>
      <c r="C567">
        <v>1.0910836648857418</v>
      </c>
      <c r="D567" s="2">
        <v>2.3855366038062705E-2</v>
      </c>
      <c r="E567" s="2">
        <v>5.3863175970543138E-3</v>
      </c>
    </row>
    <row r="568" spans="1:5" x14ac:dyDescent="0.35">
      <c r="A568" s="1">
        <v>45009</v>
      </c>
      <c r="B568">
        <v>1982.0999755859375</v>
      </c>
      <c r="C568">
        <v>1.0912265203460685</v>
      </c>
      <c r="D568" s="2">
        <v>-5.8855136919059216E-3</v>
      </c>
      <c r="E568" s="2">
        <v>1.3092131585832952E-4</v>
      </c>
    </row>
    <row r="569" spans="1:5" x14ac:dyDescent="0.35">
      <c r="A569" s="1">
        <v>45012</v>
      </c>
      <c r="B569">
        <v>1952.4000244140625</v>
      </c>
      <c r="C569">
        <v>1.0870746819179569</v>
      </c>
      <c r="D569" s="2">
        <v>-1.5097478869044783E-2</v>
      </c>
      <c r="E569" s="2">
        <v>-3.8120012525796622E-3</v>
      </c>
    </row>
    <row r="570" spans="1:5" x14ac:dyDescent="0.35">
      <c r="A570" s="1">
        <v>45013</v>
      </c>
      <c r="B570">
        <v>1972.4000244140625</v>
      </c>
      <c r="C570">
        <v>1.0928723000662868</v>
      </c>
      <c r="D570" s="2">
        <v>1.019169021018235E-2</v>
      </c>
      <c r="E570" s="2">
        <v>5.3190576332989613E-3</v>
      </c>
    </row>
    <row r="571" spans="1:5" x14ac:dyDescent="0.35">
      <c r="A571" s="1">
        <v>45014</v>
      </c>
      <c r="B571">
        <v>1966.0999755859375</v>
      </c>
      <c r="C571">
        <v>1.0864841096378326</v>
      </c>
      <c r="D571" s="2">
        <v>-3.1992150318794522E-3</v>
      </c>
      <c r="E571" s="2">
        <v>-5.8624726970659697E-3</v>
      </c>
    </row>
    <row r="572" spans="1:5" x14ac:dyDescent="0.35">
      <c r="A572" s="1">
        <v>45015</v>
      </c>
      <c r="B572">
        <v>1980.300048828125</v>
      </c>
      <c r="C572">
        <v>1.0892059695275556</v>
      </c>
      <c r="D572" s="2">
        <v>7.1965003238306617E-3</v>
      </c>
      <c r="E572" s="2">
        <v>2.5020671241445568E-3</v>
      </c>
    </row>
    <row r="573" spans="1:5" x14ac:dyDescent="0.35">
      <c r="A573" s="1">
        <v>45016</v>
      </c>
      <c r="B573">
        <v>1969</v>
      </c>
      <c r="C573">
        <v>1.0948345383514746</v>
      </c>
      <c r="D573" s="2">
        <v>-5.7225733806422849E-3</v>
      </c>
      <c r="E573" s="2">
        <v>5.1542828666573896E-3</v>
      </c>
    </row>
    <row r="574" spans="1:5" x14ac:dyDescent="0.35">
      <c r="A574" s="1">
        <v>45019</v>
      </c>
      <c r="B574">
        <v>1983.9000244140625</v>
      </c>
      <c r="C574">
        <v>1.0899064090570012</v>
      </c>
      <c r="D574" s="2">
        <v>7.5388170156960761E-3</v>
      </c>
      <c r="E574" s="2">
        <v>-4.5114160182539971E-3</v>
      </c>
    </row>
    <row r="575" spans="1:5" x14ac:dyDescent="0.35">
      <c r="A575" s="1">
        <v>45020</v>
      </c>
      <c r="B575">
        <v>2022.199951171875</v>
      </c>
      <c r="C575">
        <v>1.095638250859595</v>
      </c>
      <c r="D575" s="2">
        <v>1.9121386856435451E-2</v>
      </c>
      <c r="E575" s="2">
        <v>5.2452416545692099E-3</v>
      </c>
    </row>
    <row r="576" spans="1:5" x14ac:dyDescent="0.35">
      <c r="A576" s="1">
        <v>45021</v>
      </c>
      <c r="B576">
        <v>2020.9000244140625</v>
      </c>
      <c r="C576">
        <v>1.104484232517106</v>
      </c>
      <c r="D576" s="2">
        <v>-6.4303470626731786E-4</v>
      </c>
      <c r="E576" s="2">
        <v>8.0413971425624241E-3</v>
      </c>
    </row>
    <row r="577" spans="1:5" x14ac:dyDescent="0.35">
      <c r="A577" s="1">
        <v>45022</v>
      </c>
      <c r="B577">
        <v>2011.9000244140625</v>
      </c>
      <c r="C577">
        <v>1.1033143921520943</v>
      </c>
      <c r="D577" s="2">
        <v>-4.4634074749701257E-3</v>
      </c>
      <c r="E577" s="2">
        <v>-1.0597347615145419E-3</v>
      </c>
    </row>
    <row r="578" spans="1:5" x14ac:dyDescent="0.35">
      <c r="A578" s="1">
        <v>45026</v>
      </c>
      <c r="B578">
        <v>1989.0999755859375</v>
      </c>
      <c r="C578">
        <v>1.1058644070947108</v>
      </c>
      <c r="D578" s="2">
        <v>-1.1397298492928634E-2</v>
      </c>
      <c r="E578" s="2">
        <v>2.308564681143098E-3</v>
      </c>
    </row>
    <row r="579" spans="1:5" x14ac:dyDescent="0.35">
      <c r="A579" s="1">
        <v>45027</v>
      </c>
      <c r="B579">
        <v>2004.800048828125</v>
      </c>
      <c r="C579">
        <v>1.1003399814603265</v>
      </c>
      <c r="D579" s="2">
        <v>7.8620666603218155E-3</v>
      </c>
      <c r="E579" s="2">
        <v>-5.0080919152740676E-3</v>
      </c>
    </row>
    <row r="580" spans="1:5" x14ac:dyDescent="0.35">
      <c r="A580" s="1">
        <v>45028</v>
      </c>
      <c r="B580">
        <v>2010.9000244140625</v>
      </c>
      <c r="C580">
        <v>1.1075423873598278</v>
      </c>
      <c r="D580" s="2">
        <v>3.0380656754726365E-3</v>
      </c>
      <c r="E580" s="2">
        <v>6.5242891102710058E-3</v>
      </c>
    </row>
    <row r="581" spans="1:5" x14ac:dyDescent="0.35">
      <c r="A581" s="1">
        <v>45029</v>
      </c>
      <c r="B581">
        <v>2041.300048828125</v>
      </c>
      <c r="C581">
        <v>1.1163542629485146</v>
      </c>
      <c r="D581" s="2">
        <v>1.5004488526765062E-2</v>
      </c>
      <c r="E581" s="2">
        <v>7.9247582878605501E-3</v>
      </c>
    </row>
    <row r="582" spans="1:5" x14ac:dyDescent="0.35">
      <c r="A582" s="1">
        <v>45030</v>
      </c>
      <c r="B582">
        <v>2002.199951171875</v>
      </c>
      <c r="C582">
        <v>1.1248593943859666</v>
      </c>
      <c r="D582" s="2">
        <v>-1.9340332101503831E-2</v>
      </c>
      <c r="E582" s="2">
        <v>7.5897915736045148E-3</v>
      </c>
    </row>
    <row r="583" spans="1:5" x14ac:dyDescent="0.35">
      <c r="A583" s="1">
        <v>45033</v>
      </c>
      <c r="B583">
        <v>1994.199951171875</v>
      </c>
      <c r="C583">
        <v>1.1175681624870031</v>
      </c>
      <c r="D583" s="2">
        <v>-4.0036086885234141E-3</v>
      </c>
      <c r="E583" s="2">
        <v>-6.503003917823949E-3</v>
      </c>
    </row>
    <row r="584" spans="1:5" x14ac:dyDescent="0.35">
      <c r="A584" s="1">
        <v>45034</v>
      </c>
      <c r="B584">
        <v>2007.4000244140625</v>
      </c>
      <c r="C584">
        <v>1.1129536934435487</v>
      </c>
      <c r="D584" s="2">
        <v>6.5974216321085313E-3</v>
      </c>
      <c r="E584" s="2">
        <v>-4.1375749036580397E-3</v>
      </c>
    </row>
    <row r="585" spans="1:5" x14ac:dyDescent="0.35">
      <c r="A585" s="1">
        <v>45035</v>
      </c>
      <c r="B585">
        <v>1995.199951171875</v>
      </c>
      <c r="C585">
        <v>1.1161959902354566</v>
      </c>
      <c r="D585" s="2">
        <v>-6.0960930887571487E-3</v>
      </c>
      <c r="E585" s="2">
        <v>2.9090007746749289E-3</v>
      </c>
    </row>
    <row r="586" spans="1:5" x14ac:dyDescent="0.35">
      <c r="A586" s="1">
        <v>45036</v>
      </c>
      <c r="B586">
        <v>2007.5999755859375</v>
      </c>
      <c r="C586">
        <v>1.1139578778356443</v>
      </c>
      <c r="D586" s="2">
        <v>6.195695166983959E-3</v>
      </c>
      <c r="E586" s="2">
        <v>-2.0071378779977778E-3</v>
      </c>
    </row>
    <row r="587" spans="1:5" x14ac:dyDescent="0.35">
      <c r="A587" s="1">
        <v>45037</v>
      </c>
      <c r="B587">
        <v>1979.5</v>
      </c>
      <c r="C587">
        <v>1.1206742261271976</v>
      </c>
      <c r="D587" s="2">
        <v>-1.4095679073773076E-2</v>
      </c>
      <c r="E587" s="2">
        <v>6.0111626461621173E-3</v>
      </c>
    </row>
    <row r="588" spans="1:5" x14ac:dyDescent="0.35">
      <c r="A588" s="1">
        <v>45040</v>
      </c>
      <c r="B588">
        <v>1989.0999755859375</v>
      </c>
      <c r="C588">
        <v>1.121453366669688</v>
      </c>
      <c r="D588" s="2">
        <v>4.8379752909055249E-3</v>
      </c>
      <c r="E588" s="2">
        <v>6.9500110194947067E-4</v>
      </c>
    </row>
    <row r="589" spans="1:5" x14ac:dyDescent="0.35">
      <c r="A589" s="1">
        <v>45041</v>
      </c>
      <c r="B589">
        <v>1994</v>
      </c>
      <c r="C589">
        <v>1.1272813008700386</v>
      </c>
      <c r="D589" s="2">
        <v>2.4604086846927858E-3</v>
      </c>
      <c r="E589" s="2">
        <v>5.1833124935527263E-3</v>
      </c>
    </row>
    <row r="590" spans="1:5" x14ac:dyDescent="0.35">
      <c r="A590" s="1">
        <v>45042</v>
      </c>
      <c r="B590">
        <v>1985.699951171875</v>
      </c>
      <c r="C590">
        <v>1.1213024879869393</v>
      </c>
      <c r="D590" s="2">
        <v>-4.1711993186772864E-3</v>
      </c>
      <c r="E590" s="2">
        <v>-5.3178600705108218E-3</v>
      </c>
    </row>
    <row r="591" spans="1:5" x14ac:dyDescent="0.35">
      <c r="A591" s="1">
        <v>45043</v>
      </c>
      <c r="B591">
        <v>1989.9000244140625</v>
      </c>
      <c r="C591">
        <v>1.1225738211420411</v>
      </c>
      <c r="D591" s="2">
        <v>2.1129262655032468E-3</v>
      </c>
      <c r="E591" s="2">
        <v>1.1331580853785898E-3</v>
      </c>
    </row>
    <row r="592" spans="1:5" x14ac:dyDescent="0.35">
      <c r="A592" s="1">
        <v>45044</v>
      </c>
      <c r="B592">
        <v>1990.0999755859375</v>
      </c>
      <c r="C592">
        <v>1.1187183841265527</v>
      </c>
      <c r="D592" s="2">
        <v>1.0047797590101929E-4</v>
      </c>
      <c r="E592" s="2">
        <v>-3.4403732000893778E-3</v>
      </c>
    </row>
    <row r="593" spans="1:5" x14ac:dyDescent="0.35">
      <c r="A593" s="1">
        <v>45047</v>
      </c>
      <c r="B593">
        <v>1983.4000244140625</v>
      </c>
      <c r="C593">
        <v>1.1175681624870031</v>
      </c>
      <c r="D593" s="2">
        <v>-3.3723203832884642E-3</v>
      </c>
      <c r="E593" s="2">
        <v>-1.0286890494618671E-3</v>
      </c>
    </row>
    <row r="594" spans="1:5" x14ac:dyDescent="0.35">
      <c r="A594" s="1">
        <v>45048</v>
      </c>
      <c r="B594">
        <v>2014.300048828125</v>
      </c>
      <c r="C594">
        <v>1.1162334190540595</v>
      </c>
      <c r="D594" s="2">
        <v>1.5459208663897123E-2</v>
      </c>
      <c r="E594" s="2">
        <v>-1.1950422121836362E-3</v>
      </c>
    </row>
    <row r="595" spans="1:5" x14ac:dyDescent="0.35">
      <c r="A595" s="1">
        <v>45049</v>
      </c>
      <c r="B595">
        <v>2028.5999755859375</v>
      </c>
      <c r="C595">
        <v>1.1207621164435269</v>
      </c>
      <c r="D595" s="2">
        <v>7.0741231818441811E-3</v>
      </c>
      <c r="E595" s="2">
        <v>4.0489160612550389E-3</v>
      </c>
    </row>
    <row r="596" spans="1:5" x14ac:dyDescent="0.35">
      <c r="A596" s="1">
        <v>45050</v>
      </c>
      <c r="B596">
        <v>2048</v>
      </c>
      <c r="C596">
        <v>1.1319644231610015</v>
      </c>
      <c r="D596" s="2">
        <v>9.5178192524349864E-3</v>
      </c>
      <c r="E596" s="2">
        <v>9.9456359755054034E-3</v>
      </c>
    </row>
    <row r="597" spans="1:5" x14ac:dyDescent="0.35">
      <c r="A597" s="1">
        <v>45051</v>
      </c>
      <c r="B597">
        <v>2017.4000244140625</v>
      </c>
      <c r="C597">
        <v>1.1296881758716741</v>
      </c>
      <c r="D597" s="2">
        <v>-1.5054141436917398E-2</v>
      </c>
      <c r="E597" s="2">
        <v>-2.0129068972615273E-3</v>
      </c>
    </row>
    <row r="598" spans="1:5" x14ac:dyDescent="0.35">
      <c r="A598" s="1">
        <v>45054</v>
      </c>
      <c r="B598">
        <v>2026.300048828125</v>
      </c>
      <c r="C598">
        <v>1.1221203273122056</v>
      </c>
      <c r="D598" s="2">
        <v>4.4019282459867902E-3</v>
      </c>
      <c r="E598" s="2">
        <v>-6.7215991427604389E-3</v>
      </c>
    </row>
    <row r="599" spans="1:5" x14ac:dyDescent="0.35">
      <c r="A599" s="1">
        <v>45055</v>
      </c>
      <c r="B599">
        <v>2036.199951171875</v>
      </c>
      <c r="C599">
        <v>1.1237091609951688</v>
      </c>
      <c r="D599" s="2">
        <v>4.8738077246031674E-3</v>
      </c>
      <c r="E599" s="2">
        <v>1.414919481915558E-3</v>
      </c>
    </row>
    <row r="600" spans="1:5" x14ac:dyDescent="0.35">
      <c r="A600" s="1">
        <v>45056</v>
      </c>
      <c r="B600">
        <v>2030.5</v>
      </c>
      <c r="C600">
        <v>1.1233935167295226</v>
      </c>
      <c r="D600" s="2">
        <v>-2.8032335667185228E-3</v>
      </c>
      <c r="E600" s="2">
        <v>-2.8093444135968908E-4</v>
      </c>
    </row>
    <row r="601" spans="1:5" x14ac:dyDescent="0.35">
      <c r="A601" s="1">
        <v>45057</v>
      </c>
      <c r="B601">
        <v>2014.699951171875</v>
      </c>
      <c r="C601">
        <v>1.1244926041283367</v>
      </c>
      <c r="D601" s="2">
        <v>-7.8117914404175039E-3</v>
      </c>
      <c r="E601" s="2">
        <v>9.7788537969088177E-4</v>
      </c>
    </row>
    <row r="602" spans="1:5" x14ac:dyDescent="0.35">
      <c r="A602" s="1">
        <v>45058</v>
      </c>
      <c r="B602">
        <v>2014.5</v>
      </c>
      <c r="C602">
        <v>1.1185682404182034</v>
      </c>
      <c r="D602" s="2">
        <v>-9.9251054533082547E-5</v>
      </c>
      <c r="E602" s="2">
        <v>-5.2824046218377697E-3</v>
      </c>
    </row>
    <row r="603" spans="1:5" x14ac:dyDescent="0.35">
      <c r="A603" s="1">
        <v>45061</v>
      </c>
      <c r="B603">
        <v>2018</v>
      </c>
      <c r="C603">
        <v>1.1131147405027031</v>
      </c>
      <c r="D603" s="2">
        <v>1.7358962821522753E-3</v>
      </c>
      <c r="E603" s="2">
        <v>-4.8873525652240041E-3</v>
      </c>
    </row>
    <row r="604" spans="1:5" x14ac:dyDescent="0.35">
      <c r="A604" s="1">
        <v>45062</v>
      </c>
      <c r="B604">
        <v>1988.4000244140625</v>
      </c>
      <c r="C604">
        <v>1.1167444545901486</v>
      </c>
      <c r="D604" s="2">
        <v>-1.4776614414791786E-2</v>
      </c>
      <c r="E604" s="2">
        <v>3.2555573923886121E-3</v>
      </c>
    </row>
    <row r="605" spans="1:5" x14ac:dyDescent="0.35">
      <c r="A605" s="1">
        <v>45063</v>
      </c>
      <c r="B605">
        <v>1980.699951171875</v>
      </c>
      <c r="C605">
        <v>1.115635600878772</v>
      </c>
      <c r="D605" s="2">
        <v>-3.8800145874982612E-3</v>
      </c>
      <c r="E605" s="2">
        <v>-9.9342744068504104E-4</v>
      </c>
    </row>
    <row r="606" spans="1:5" x14ac:dyDescent="0.35">
      <c r="A606" s="1">
        <v>45064</v>
      </c>
      <c r="B606">
        <v>1956.5</v>
      </c>
      <c r="C606">
        <v>1.1126663465175226</v>
      </c>
      <c r="D606" s="2">
        <v>-1.2293130260797066E-2</v>
      </c>
      <c r="E606" s="2">
        <v>-2.6650392888897625E-3</v>
      </c>
    </row>
    <row r="607" spans="1:5" x14ac:dyDescent="0.35">
      <c r="A607" s="1">
        <v>45065</v>
      </c>
      <c r="B607">
        <v>1978.699951171875</v>
      </c>
      <c r="C607">
        <v>1.1051311559778645</v>
      </c>
      <c r="D607" s="2">
        <v>1.1282876071055622E-2</v>
      </c>
      <c r="E607" s="2">
        <v>-6.7952277212125507E-3</v>
      </c>
    </row>
    <row r="608" spans="1:5" x14ac:dyDescent="0.35">
      <c r="A608" s="1">
        <v>45068</v>
      </c>
      <c r="B608">
        <v>1974.800048828125</v>
      </c>
      <c r="C608">
        <v>1.1133501553639997</v>
      </c>
      <c r="D608" s="2">
        <v>-1.9728866112101689E-3</v>
      </c>
      <c r="E608" s="2">
        <v>7.40960669585924E-3</v>
      </c>
    </row>
    <row r="609" spans="1:5" x14ac:dyDescent="0.35">
      <c r="A609" s="1">
        <v>45069</v>
      </c>
      <c r="B609">
        <v>1972.4000244140625</v>
      </c>
      <c r="C609">
        <v>1.1132138581895143</v>
      </c>
      <c r="D609" s="2">
        <v>-1.216064382496189E-3</v>
      </c>
      <c r="E609" s="2">
        <v>-1.2242825611658148E-4</v>
      </c>
    </row>
    <row r="610" spans="1:5" x14ac:dyDescent="0.35">
      <c r="A610" s="1">
        <v>45070</v>
      </c>
      <c r="B610">
        <v>1962.800048828125</v>
      </c>
      <c r="C610">
        <v>1.1094961449853464</v>
      </c>
      <c r="D610" s="2">
        <v>-4.879037635297988E-3</v>
      </c>
      <c r="E610" s="2">
        <v>-3.3452107254291186E-3</v>
      </c>
    </row>
    <row r="611" spans="1:5" x14ac:dyDescent="0.35">
      <c r="A611" s="1">
        <v>45071</v>
      </c>
      <c r="B611">
        <v>1943.0999755859375</v>
      </c>
      <c r="C611">
        <v>1.1061947095206488</v>
      </c>
      <c r="D611" s="2">
        <v>-1.0087426800028507E-2</v>
      </c>
      <c r="E611" s="2">
        <v>-2.9800528365608392E-3</v>
      </c>
    </row>
    <row r="612" spans="1:5" x14ac:dyDescent="0.35">
      <c r="A612" s="1">
        <v>45072</v>
      </c>
      <c r="B612">
        <v>1944.0999755859375</v>
      </c>
      <c r="C612">
        <v>1.1049113556647201</v>
      </c>
      <c r="D612" s="2">
        <v>5.145091760760677E-4</v>
      </c>
      <c r="E612" s="2">
        <v>-1.1608253626971218E-3</v>
      </c>
    </row>
    <row r="613" spans="1:5" x14ac:dyDescent="0.35">
      <c r="A613" s="1">
        <v>45076</v>
      </c>
      <c r="B613">
        <v>1958</v>
      </c>
      <c r="C613">
        <v>1.1056320740809424</v>
      </c>
      <c r="D613" s="2">
        <v>7.1244116218897296E-3</v>
      </c>
      <c r="E613" s="2">
        <v>6.520735417921156E-4</v>
      </c>
    </row>
    <row r="614" spans="1:5" x14ac:dyDescent="0.35">
      <c r="A614" s="1">
        <v>45077</v>
      </c>
      <c r="B614">
        <v>1963.9000244140625</v>
      </c>
      <c r="C614">
        <v>1.1039964855763733</v>
      </c>
      <c r="D614" s="2">
        <v>3.0087604621398334E-3</v>
      </c>
      <c r="E614" s="2">
        <v>-1.4804196806195969E-3</v>
      </c>
    </row>
    <row r="615" spans="1:5" x14ac:dyDescent="0.35">
      <c r="A615" s="1">
        <v>45078</v>
      </c>
      <c r="B615">
        <v>1978</v>
      </c>
      <c r="C615">
        <v>1.0990339539276381</v>
      </c>
      <c r="D615" s="2">
        <v>7.1539286300617939E-3</v>
      </c>
      <c r="E615" s="2">
        <v>-4.5051942572935317E-3</v>
      </c>
    </row>
    <row r="616" spans="1:5" x14ac:dyDescent="0.35">
      <c r="A616" s="1">
        <v>45079</v>
      </c>
      <c r="B616">
        <v>1952.4000244140625</v>
      </c>
      <c r="C616">
        <v>1.1042524790073296</v>
      </c>
      <c r="D616" s="2">
        <v>-1.3026835665023308E-2</v>
      </c>
      <c r="E616" s="2">
        <v>4.7370462234519349E-3</v>
      </c>
    </row>
    <row r="617" spans="1:5" x14ac:dyDescent="0.35">
      <c r="A617" s="1">
        <v>45082</v>
      </c>
      <c r="B617">
        <v>1958</v>
      </c>
      <c r="C617">
        <v>1.0992393220302559</v>
      </c>
      <c r="D617" s="2">
        <v>2.8641465728216076E-3</v>
      </c>
      <c r="E617" s="2">
        <v>-4.5502012979722088E-3</v>
      </c>
    </row>
    <row r="618" spans="1:5" x14ac:dyDescent="0.35">
      <c r="A618" s="1">
        <v>45083</v>
      </c>
      <c r="B618">
        <v>1965.5</v>
      </c>
      <c r="C618">
        <v>1.1038745979861144</v>
      </c>
      <c r="D618" s="2">
        <v>3.8231217714593058E-3</v>
      </c>
      <c r="E618" s="2">
        <v>4.2079374592274591E-3</v>
      </c>
    </row>
    <row r="619" spans="1:5" x14ac:dyDescent="0.35">
      <c r="A619" s="1">
        <v>45084</v>
      </c>
      <c r="B619">
        <v>1942.699951171875</v>
      </c>
      <c r="C619">
        <v>1.1023778253612102</v>
      </c>
      <c r="D619" s="2">
        <v>-1.1667932951336448E-2</v>
      </c>
      <c r="E619" s="2">
        <v>-1.3568464231007286E-3</v>
      </c>
    </row>
    <row r="620" spans="1:5" x14ac:dyDescent="0.35">
      <c r="A620" s="1">
        <v>45085</v>
      </c>
      <c r="B620">
        <v>1963.5999755859375</v>
      </c>
      <c r="C620">
        <v>1.0994568712351853</v>
      </c>
      <c r="D620" s="2">
        <v>1.0700777840001093E-2</v>
      </c>
      <c r="E620" s="2">
        <v>-2.6532017540096564E-3</v>
      </c>
    </row>
    <row r="621" spans="1:5" x14ac:dyDescent="0.35">
      <c r="A621" s="1">
        <v>45086</v>
      </c>
      <c r="B621">
        <v>1962.199951171875</v>
      </c>
      <c r="C621">
        <v>1.1127183723972462</v>
      </c>
      <c r="D621" s="2">
        <v>-7.1324290566681531E-4</v>
      </c>
      <c r="E621" s="2">
        <v>1.198970114580883E-2</v>
      </c>
    </row>
    <row r="622" spans="1:5" x14ac:dyDescent="0.35">
      <c r="A622" s="1">
        <v>45089</v>
      </c>
      <c r="B622">
        <v>1955.300048828125</v>
      </c>
      <c r="C622">
        <v>1.1071745265894997</v>
      </c>
      <c r="D622" s="2">
        <v>-3.5226085404931138E-3</v>
      </c>
      <c r="E622" s="2">
        <v>-4.9947070288941763E-3</v>
      </c>
    </row>
    <row r="623" spans="1:5" x14ac:dyDescent="0.35">
      <c r="A623" s="1">
        <v>45090</v>
      </c>
      <c r="B623">
        <v>1944.5999755859375</v>
      </c>
      <c r="C623">
        <v>1.1009578544689869</v>
      </c>
      <c r="D623" s="2">
        <v>-5.4873714836624161E-3</v>
      </c>
      <c r="E623" s="2">
        <v>-5.6307208741706218E-3</v>
      </c>
    </row>
    <row r="624" spans="1:5" x14ac:dyDescent="0.35">
      <c r="A624" s="1">
        <v>45091</v>
      </c>
      <c r="B624">
        <v>1955.300048828125</v>
      </c>
      <c r="C624">
        <v>1.1046549839564708</v>
      </c>
      <c r="D624" s="2">
        <v>5.4873714836623649E-3</v>
      </c>
      <c r="E624" s="2">
        <v>3.3524768134950192E-3</v>
      </c>
    </row>
    <row r="625" spans="1:5" x14ac:dyDescent="0.35">
      <c r="A625" s="1">
        <v>45092</v>
      </c>
      <c r="B625">
        <v>1957.800048828125</v>
      </c>
      <c r="C625">
        <v>1.1110123233566458</v>
      </c>
      <c r="D625" s="2">
        <v>1.2777594632126471E-3</v>
      </c>
      <c r="E625" s="2">
        <v>5.7385482245250388E-3</v>
      </c>
    </row>
    <row r="626" spans="1:5" x14ac:dyDescent="0.35">
      <c r="A626" s="1">
        <v>45093</v>
      </c>
      <c r="B626">
        <v>1958.4000244140625</v>
      </c>
      <c r="C626">
        <v>1.121528858724546</v>
      </c>
      <c r="D626" s="2">
        <v>3.064070167053769E-4</v>
      </c>
      <c r="E626" s="2">
        <v>9.4212041763896606E-3</v>
      </c>
    </row>
    <row r="627" spans="1:5" x14ac:dyDescent="0.35">
      <c r="A627" s="1">
        <v>45097</v>
      </c>
      <c r="B627">
        <v>1935.5</v>
      </c>
      <c r="C627">
        <v>1.1163454977295102</v>
      </c>
      <c r="D627" s="2">
        <v>-1.1762134766634989E-2</v>
      </c>
      <c r="E627" s="2">
        <v>-4.6324050760984271E-3</v>
      </c>
    </row>
    <row r="628" spans="1:5" x14ac:dyDescent="0.35">
      <c r="A628" s="1">
        <v>45098</v>
      </c>
      <c r="B628">
        <v>1933.300048828125</v>
      </c>
      <c r="C628">
        <v>1.11399515670331</v>
      </c>
      <c r="D628" s="2">
        <v>-1.1372784228845022E-3</v>
      </c>
      <c r="E628" s="2">
        <v>-2.1076079939170355E-3</v>
      </c>
    </row>
    <row r="629" spans="1:5" x14ac:dyDescent="0.35">
      <c r="A629" s="1">
        <v>45099</v>
      </c>
      <c r="B629">
        <v>1912.699951171875</v>
      </c>
      <c r="C629">
        <v>1.1206993041560263</v>
      </c>
      <c r="D629" s="2">
        <v>-1.0712581726706361E-2</v>
      </c>
      <c r="E629" s="2">
        <v>6.0000753419093391E-3</v>
      </c>
    </row>
    <row r="630" spans="1:5" x14ac:dyDescent="0.35">
      <c r="A630" s="1">
        <v>45100</v>
      </c>
      <c r="B630">
        <v>1919.0999755859375</v>
      </c>
      <c r="C630">
        <v>1.1174682679265027</v>
      </c>
      <c r="D630" s="2">
        <v>3.3404825344688139E-3</v>
      </c>
      <c r="E630" s="2">
        <v>-2.8872176635255722E-3</v>
      </c>
    </row>
    <row r="631" spans="1:5" x14ac:dyDescent="0.35">
      <c r="A631" s="1">
        <v>45103</v>
      </c>
      <c r="B631">
        <v>1923.699951171875</v>
      </c>
      <c r="C631">
        <v>1.1163454977295102</v>
      </c>
      <c r="D631" s="2">
        <v>2.3940761271535643E-3</v>
      </c>
      <c r="E631" s="2">
        <v>-1.0052496844667371E-3</v>
      </c>
    </row>
    <row r="632" spans="1:5" x14ac:dyDescent="0.35">
      <c r="A632" s="1">
        <v>45104</v>
      </c>
      <c r="B632">
        <v>1914</v>
      </c>
      <c r="C632">
        <v>1.1165574614720426</v>
      </c>
      <c r="D632" s="2">
        <v>-5.0550965168347601E-3</v>
      </c>
      <c r="E632" s="2">
        <v>1.8985486341505458E-4</v>
      </c>
    </row>
    <row r="633" spans="1:5" x14ac:dyDescent="0.35">
      <c r="A633" s="1">
        <v>45105</v>
      </c>
      <c r="B633">
        <v>1912.300048828125</v>
      </c>
      <c r="C633">
        <v>1.1188811039573683</v>
      </c>
      <c r="D633" s="2">
        <v>-8.8856141025539146E-4</v>
      </c>
      <c r="E633" s="2">
        <v>2.0789149459412453E-3</v>
      </c>
    </row>
    <row r="634" spans="1:5" x14ac:dyDescent="0.35">
      <c r="A634" s="1">
        <v>45106</v>
      </c>
      <c r="B634">
        <v>1909.199951171875</v>
      </c>
      <c r="C634">
        <v>1.1152499644696052</v>
      </c>
      <c r="D634" s="2">
        <v>-1.6224510460784893E-3</v>
      </c>
      <c r="E634" s="2">
        <v>-3.2506084682625345E-3</v>
      </c>
    </row>
    <row r="635" spans="1:5" x14ac:dyDescent="0.35">
      <c r="A635" s="1">
        <v>45107</v>
      </c>
      <c r="B635">
        <v>1921.0999755859375</v>
      </c>
      <c r="C635">
        <v>1.1121738545923499</v>
      </c>
      <c r="D635" s="2">
        <v>6.2136453694543944E-3</v>
      </c>
      <c r="E635" s="2">
        <v>-2.7620355017541867E-3</v>
      </c>
    </row>
    <row r="636" spans="1:5" x14ac:dyDescent="0.35">
      <c r="A636" s="1">
        <v>45110</v>
      </c>
      <c r="B636">
        <v>1921.699951171875</v>
      </c>
      <c r="C636">
        <v>1.1173184595655401</v>
      </c>
      <c r="D636" s="2">
        <v>3.1225960354315117E-4</v>
      </c>
      <c r="E636" s="2">
        <v>4.6150543526391101E-3</v>
      </c>
    </row>
    <row r="637" spans="1:5" x14ac:dyDescent="0.35">
      <c r="A637" s="1">
        <v>45112</v>
      </c>
      <c r="B637">
        <v>1919.5999755859375</v>
      </c>
      <c r="C637">
        <v>1.115274800319056</v>
      </c>
      <c r="D637" s="2">
        <v>-1.0933672637802037E-3</v>
      </c>
      <c r="E637" s="2">
        <v>-1.8307497868118997E-3</v>
      </c>
    </row>
    <row r="638" spans="1:5" x14ac:dyDescent="0.35">
      <c r="A638" s="1">
        <v>45113</v>
      </c>
      <c r="B638">
        <v>1908.699951171875</v>
      </c>
      <c r="C638">
        <v>1.1129412901010596</v>
      </c>
      <c r="D638" s="2">
        <v>-5.6944618118119714E-3</v>
      </c>
      <c r="E638" s="2">
        <v>-2.0945105648563053E-3</v>
      </c>
    </row>
    <row r="639" spans="1:5" x14ac:dyDescent="0.35">
      <c r="A639" s="1">
        <v>45114</v>
      </c>
      <c r="B639">
        <v>1926.199951171875</v>
      </c>
      <c r="C639">
        <v>1.1169689885146148</v>
      </c>
      <c r="D639" s="2">
        <v>9.1267683233349321E-3</v>
      </c>
      <c r="E639" s="2">
        <v>3.6124348429580487E-3</v>
      </c>
    </row>
    <row r="640" spans="1:5" x14ac:dyDescent="0.35">
      <c r="A640" s="1">
        <v>45117</v>
      </c>
      <c r="B640">
        <v>1925</v>
      </c>
      <c r="C640">
        <v>1.1249859604873969</v>
      </c>
      <c r="D640" s="2">
        <v>-6.2315705542152213E-4</v>
      </c>
      <c r="E640" s="2">
        <v>7.1517995020250157E-3</v>
      </c>
    </row>
    <row r="641" spans="1:5" x14ac:dyDescent="0.35">
      <c r="A641" s="1">
        <v>45118</v>
      </c>
      <c r="B641">
        <v>1931.300048828125</v>
      </c>
      <c r="C641">
        <v>1.1297775618708046</v>
      </c>
      <c r="D641" s="2">
        <v>3.2674088391857186E-3</v>
      </c>
      <c r="E641" s="2">
        <v>4.2502094334603991E-3</v>
      </c>
    </row>
    <row r="642" spans="1:5" x14ac:dyDescent="0.35">
      <c r="A642" s="1">
        <v>45119</v>
      </c>
      <c r="B642">
        <v>1956.199951171875</v>
      </c>
      <c r="C642">
        <v>1.1379671611472884</v>
      </c>
      <c r="D642" s="2">
        <v>1.2810414334619996E-2</v>
      </c>
      <c r="E642" s="2">
        <v>7.2227132057341029E-3</v>
      </c>
    </row>
    <row r="643" spans="1:5" x14ac:dyDescent="0.35">
      <c r="A643" s="1">
        <v>45120</v>
      </c>
      <c r="B643">
        <v>1959.199951171875</v>
      </c>
      <c r="C643">
        <v>1.1539216150870506</v>
      </c>
      <c r="D643" s="2">
        <v>1.5324108197861239E-3</v>
      </c>
      <c r="E643" s="2">
        <v>1.3922762593364784E-2</v>
      </c>
    </row>
    <row r="644" spans="1:5" x14ac:dyDescent="0.35">
      <c r="A644" s="1">
        <v>45121</v>
      </c>
      <c r="B644">
        <v>1960.0999755859375</v>
      </c>
      <c r="C644">
        <v>1.1639817334161622</v>
      </c>
      <c r="D644" s="2">
        <v>4.5927816023401885E-4</v>
      </c>
      <c r="E644" s="2">
        <v>8.6804150003552041E-3</v>
      </c>
    </row>
    <row r="645" spans="1:5" x14ac:dyDescent="0.35">
      <c r="A645" s="1">
        <v>45124</v>
      </c>
      <c r="B645">
        <v>1952.4000244140625</v>
      </c>
      <c r="C645">
        <v>1.1602274423140573</v>
      </c>
      <c r="D645" s="2">
        <v>-3.9360823580764509E-3</v>
      </c>
      <c r="E645" s="2">
        <v>-3.2305993854002098E-3</v>
      </c>
    </row>
    <row r="646" spans="1:5" x14ac:dyDescent="0.35">
      <c r="A646" s="1">
        <v>45125</v>
      </c>
      <c r="B646">
        <v>1977.199951171875</v>
      </c>
      <c r="C646">
        <v>1.1623176441523435</v>
      </c>
      <c r="D646" s="2">
        <v>1.2622280219577665E-2</v>
      </c>
      <c r="E646" s="2">
        <v>1.7999240701700742E-3</v>
      </c>
    </row>
    <row r="647" spans="1:5" x14ac:dyDescent="0.35">
      <c r="A647" s="1">
        <v>45126</v>
      </c>
      <c r="B647">
        <v>1977.5</v>
      </c>
      <c r="C647">
        <v>1.1659768215660056</v>
      </c>
      <c r="D647" s="2">
        <v>1.5174290459729159E-4</v>
      </c>
      <c r="E647" s="2">
        <v>3.143228212948497E-3</v>
      </c>
    </row>
    <row r="648" spans="1:5" x14ac:dyDescent="0.35">
      <c r="A648" s="1">
        <v>45127</v>
      </c>
      <c r="B648">
        <v>1968.300048828125</v>
      </c>
      <c r="C648">
        <v>1.1655691269397301</v>
      </c>
      <c r="D648" s="2">
        <v>-4.6631698156101558E-3</v>
      </c>
      <c r="E648" s="2">
        <v>-3.4972043393950405E-4</v>
      </c>
    </row>
    <row r="649" spans="1:5" x14ac:dyDescent="0.35">
      <c r="A649" s="1">
        <v>45128</v>
      </c>
      <c r="B649">
        <v>1964.300048828125</v>
      </c>
      <c r="C649">
        <v>1.1543878386321853</v>
      </c>
      <c r="D649" s="2">
        <v>-2.0342782281946971E-3</v>
      </c>
      <c r="E649" s="2">
        <v>-9.6392950818194635E-3</v>
      </c>
    </row>
    <row r="650" spans="1:5" x14ac:dyDescent="0.35">
      <c r="A650" s="1">
        <v>45131</v>
      </c>
      <c r="B650">
        <v>1960.300048828125</v>
      </c>
      <c r="C650">
        <v>1.1544144482359437</v>
      </c>
      <c r="D650" s="2">
        <v>-2.038424953129538E-3</v>
      </c>
      <c r="E650" s="2">
        <v>2.3050569475784245E-5</v>
      </c>
    </row>
    <row r="651" spans="1:5" x14ac:dyDescent="0.35">
      <c r="A651" s="1">
        <v>45132</v>
      </c>
      <c r="B651">
        <v>1962.0999755859375</v>
      </c>
      <c r="C651">
        <v>1.1495706689418879</v>
      </c>
      <c r="D651" s="2">
        <v>9.1776813835864313E-4</v>
      </c>
      <c r="E651" s="2">
        <v>-4.2047028813252292E-3</v>
      </c>
    </row>
    <row r="652" spans="1:5" x14ac:dyDescent="0.35">
      <c r="A652" s="1">
        <v>45133</v>
      </c>
      <c r="B652">
        <v>1968.9000244140625</v>
      </c>
      <c r="C652">
        <v>1.1566978229444334</v>
      </c>
      <c r="D652" s="2">
        <v>3.4597077644024344E-3</v>
      </c>
      <c r="E652" s="2">
        <v>6.1806998763034764E-3</v>
      </c>
    </row>
    <row r="653" spans="1:5" x14ac:dyDescent="0.35">
      <c r="A653" s="1">
        <v>45134</v>
      </c>
      <c r="B653">
        <v>1945.4000244140625</v>
      </c>
      <c r="C653">
        <v>1.1607121867260706</v>
      </c>
      <c r="D653" s="2">
        <v>-1.2007399562659367E-2</v>
      </c>
      <c r="E653" s="2">
        <v>3.4645296086927048E-3</v>
      </c>
    </row>
    <row r="654" spans="1:5" x14ac:dyDescent="0.35">
      <c r="A654" s="1">
        <v>45135</v>
      </c>
      <c r="B654">
        <v>1960.4000244140625</v>
      </c>
      <c r="C654">
        <v>1.1509466632237726</v>
      </c>
      <c r="D654" s="2">
        <v>7.6809225040289451E-3</v>
      </c>
      <c r="E654" s="2">
        <v>-8.448981643926658E-3</v>
      </c>
    </row>
    <row r="655" spans="1:5" x14ac:dyDescent="0.35">
      <c r="A655" s="1">
        <v>45138</v>
      </c>
      <c r="B655">
        <v>1970.5</v>
      </c>
      <c r="C655">
        <v>1.1496631503612857</v>
      </c>
      <c r="D655" s="2">
        <v>5.1387711460531846E-3</v>
      </c>
      <c r="E655" s="2">
        <v>-1.1158024173189003E-3</v>
      </c>
    </row>
    <row r="656" spans="1:5" x14ac:dyDescent="0.35">
      <c r="A656" s="1">
        <v>45139</v>
      </c>
      <c r="B656">
        <v>1940.699951171875</v>
      </c>
      <c r="C656">
        <v>1.1472494950033711</v>
      </c>
      <c r="D656" s="2">
        <v>-1.5238610077067491E-2</v>
      </c>
      <c r="E656" s="2">
        <v>-2.1016526259285732E-3</v>
      </c>
    </row>
    <row r="657" spans="1:5" x14ac:dyDescent="0.35">
      <c r="A657" s="1">
        <v>45140</v>
      </c>
      <c r="B657">
        <v>1937.4000244140625</v>
      </c>
      <c r="C657">
        <v>1.1462894370552608</v>
      </c>
      <c r="D657" s="2">
        <v>-1.7018269642495524E-3</v>
      </c>
      <c r="E657" s="2">
        <v>-8.3718483324133925E-4</v>
      </c>
    </row>
    <row r="658" spans="1:5" x14ac:dyDescent="0.35">
      <c r="A658" s="1">
        <v>45141</v>
      </c>
      <c r="B658">
        <v>1932</v>
      </c>
      <c r="C658">
        <v>1.1398479728570614</v>
      </c>
      <c r="D658" s="2">
        <v>-2.7911448212779625E-3</v>
      </c>
      <c r="E658" s="2">
        <v>-5.6352529087385682E-3</v>
      </c>
    </row>
    <row r="659" spans="1:5" x14ac:dyDescent="0.35">
      <c r="A659" s="1">
        <v>45142</v>
      </c>
      <c r="B659">
        <v>1939.5999755859375</v>
      </c>
      <c r="C659">
        <v>1.1438768095240888</v>
      </c>
      <c r="D659" s="2">
        <v>3.9260178715701454E-3</v>
      </c>
      <c r="E659" s="2">
        <v>3.5283068062089617E-3</v>
      </c>
    </row>
    <row r="660" spans="1:5" x14ac:dyDescent="0.35">
      <c r="A660" s="1">
        <v>45145</v>
      </c>
      <c r="B660">
        <v>1933.5</v>
      </c>
      <c r="C660">
        <v>1.1439684550515237</v>
      </c>
      <c r="D660" s="2">
        <v>-3.1499215966817747E-3</v>
      </c>
      <c r="E660" s="2">
        <v>8.011514493833625E-5</v>
      </c>
    </row>
    <row r="661" spans="1:5" x14ac:dyDescent="0.35">
      <c r="A661" s="1">
        <v>45146</v>
      </c>
      <c r="B661">
        <v>1924.0999755859375</v>
      </c>
      <c r="C661">
        <v>1.1458691732991948</v>
      </c>
      <c r="D661" s="2">
        <v>-4.8735188089433787E-3</v>
      </c>
      <c r="E661" s="2">
        <v>1.6601340293101545E-3</v>
      </c>
    </row>
    <row r="662" spans="1:5" x14ac:dyDescent="0.35">
      <c r="A662" s="1">
        <v>45147</v>
      </c>
      <c r="B662">
        <v>1915.4000244140625</v>
      </c>
      <c r="C662">
        <v>1.1420740320201388</v>
      </c>
      <c r="D662" s="2">
        <v>-4.5318224046941588E-3</v>
      </c>
      <c r="E662" s="2">
        <v>-3.3175165808158719E-3</v>
      </c>
    </row>
    <row r="663" spans="1:5" x14ac:dyDescent="0.35">
      <c r="A663" s="1">
        <v>45148</v>
      </c>
      <c r="B663">
        <v>1914.4000244140625</v>
      </c>
      <c r="C663">
        <v>1.140641060985812</v>
      </c>
      <c r="D663" s="2">
        <v>-5.2222048669730951E-4</v>
      </c>
      <c r="E663" s="2">
        <v>-1.2554972164041463E-3</v>
      </c>
    </row>
    <row r="664" spans="1:5" x14ac:dyDescent="0.35">
      <c r="A664" s="1">
        <v>45149</v>
      </c>
      <c r="B664">
        <v>1912.9000244140625</v>
      </c>
      <c r="C664">
        <v>1.1405239735025505</v>
      </c>
      <c r="D664" s="2">
        <v>-7.8384242555549349E-4</v>
      </c>
      <c r="E664" s="2">
        <v>-1.0265586364335801E-4</v>
      </c>
    </row>
    <row r="665" spans="1:5" x14ac:dyDescent="0.35">
      <c r="A665" s="1">
        <v>45152</v>
      </c>
      <c r="B665">
        <v>1910.5999755859375</v>
      </c>
      <c r="C665">
        <v>1.1407451416965098</v>
      </c>
      <c r="D665" s="2">
        <v>-1.2031118637709465E-3</v>
      </c>
      <c r="E665" s="2">
        <v>1.9389925824933211E-4</v>
      </c>
    </row>
    <row r="666" spans="1:5" x14ac:dyDescent="0.35">
      <c r="A666" s="1">
        <v>45153</v>
      </c>
      <c r="B666">
        <v>1902.5</v>
      </c>
      <c r="C666">
        <v>1.1389781168576367</v>
      </c>
      <c r="D666" s="2">
        <v>-4.2485053218494105E-3</v>
      </c>
      <c r="E666" s="2">
        <v>-1.5502102600494845E-3</v>
      </c>
    </row>
    <row r="667" spans="1:5" x14ac:dyDescent="0.35">
      <c r="A667" s="1">
        <v>45154</v>
      </c>
      <c r="B667">
        <v>1896.0999755859375</v>
      </c>
      <c r="C667">
        <v>1.1381484231722054</v>
      </c>
      <c r="D667" s="2">
        <v>-3.3696785716191323E-3</v>
      </c>
      <c r="E667" s="2">
        <v>-7.2871990867629584E-4</v>
      </c>
    </row>
    <row r="668" spans="1:5" x14ac:dyDescent="0.35">
      <c r="A668" s="1">
        <v>45155</v>
      </c>
      <c r="B668">
        <v>1884.0999755859375</v>
      </c>
      <c r="C668">
        <v>1.1361828715509554</v>
      </c>
      <c r="D668" s="2">
        <v>-6.34889183821112E-3</v>
      </c>
      <c r="E668" s="2">
        <v>-1.7284659584699414E-3</v>
      </c>
    </row>
    <row r="669" spans="1:5" x14ac:dyDescent="0.35">
      <c r="A669" s="1">
        <v>45156</v>
      </c>
      <c r="B669">
        <v>1886.0999755859375</v>
      </c>
      <c r="C669">
        <v>1.1386409320976418</v>
      </c>
      <c r="D669" s="2">
        <v>1.0609517869105895E-3</v>
      </c>
      <c r="E669" s="2">
        <v>2.1611005647222607E-3</v>
      </c>
    </row>
    <row r="670" spans="1:5" x14ac:dyDescent="0.35">
      <c r="A670" s="1">
        <v>45159</v>
      </c>
      <c r="B670">
        <v>1893.300048828125</v>
      </c>
      <c r="C670">
        <v>1.1334399042726155</v>
      </c>
      <c r="D670" s="2">
        <v>3.8101719353384462E-3</v>
      </c>
      <c r="E670" s="2">
        <v>-4.5782146711078045E-3</v>
      </c>
    </row>
    <row r="671" spans="1:5" x14ac:dyDescent="0.35">
      <c r="A671" s="1">
        <v>45160</v>
      </c>
      <c r="B671">
        <v>1896.4000244140625</v>
      </c>
      <c r="C671">
        <v>1.1383531457516336</v>
      </c>
      <c r="D671" s="2">
        <v>1.6360008536025392E-3</v>
      </c>
      <c r="E671" s="2">
        <v>4.3254372481532554E-3</v>
      </c>
    </row>
    <row r="672" spans="1:5" x14ac:dyDescent="0.35">
      <c r="A672" s="1">
        <v>45161</v>
      </c>
      <c r="B672">
        <v>1918.5</v>
      </c>
      <c r="C672">
        <v>1.1366219315684767</v>
      </c>
      <c r="D672" s="2">
        <v>1.1586265785144559E-2</v>
      </c>
      <c r="E672" s="2">
        <v>-1.5219635015733344E-3</v>
      </c>
    </row>
    <row r="673" spans="1:5" x14ac:dyDescent="0.35">
      <c r="A673" s="1">
        <v>45162</v>
      </c>
      <c r="B673">
        <v>1918.199951171875</v>
      </c>
      <c r="C673">
        <v>1.139718040769955</v>
      </c>
      <c r="D673" s="2">
        <v>-1.564098483359136E-4</v>
      </c>
      <c r="E673" s="2">
        <v>2.720253695240496E-3</v>
      </c>
    </row>
    <row r="674" spans="1:5" x14ac:dyDescent="0.35">
      <c r="A674" s="1">
        <v>45163</v>
      </c>
      <c r="B674">
        <v>1911.0999755859375</v>
      </c>
      <c r="C674">
        <v>1.1298158310096882</v>
      </c>
      <c r="D674" s="2">
        <v>-3.7082411186100178E-3</v>
      </c>
      <c r="E674" s="2">
        <v>-8.7262611227229663E-3</v>
      </c>
    </row>
    <row r="675" spans="1:5" x14ac:dyDescent="0.35">
      <c r="A675" s="1">
        <v>45166</v>
      </c>
      <c r="B675">
        <v>1917.9000244140625</v>
      </c>
      <c r="C675">
        <v>1.1302883602884695</v>
      </c>
      <c r="D675" s="2">
        <v>3.5518704503101632E-3</v>
      </c>
      <c r="E675" s="2">
        <v>4.181482318254896E-4</v>
      </c>
    </row>
    <row r="676" spans="1:5" x14ac:dyDescent="0.35">
      <c r="A676" s="1">
        <v>45167</v>
      </c>
      <c r="B676">
        <v>1936.5</v>
      </c>
      <c r="C676">
        <v>1.1318619385036568</v>
      </c>
      <c r="D676" s="2">
        <v>9.6513697844355564E-3</v>
      </c>
      <c r="E676" s="2">
        <v>1.3912236245602369E-3</v>
      </c>
    </row>
    <row r="677" spans="1:5" x14ac:dyDescent="0.35">
      <c r="A677" s="1">
        <v>45168</v>
      </c>
      <c r="B677">
        <v>1944.300048828125</v>
      </c>
      <c r="C677">
        <v>1.1377081832694966</v>
      </c>
      <c r="D677" s="2">
        <v>4.0198202604455977E-3</v>
      </c>
      <c r="E677" s="2">
        <v>5.1518634657017077E-3</v>
      </c>
    </row>
    <row r="678" spans="1:5" x14ac:dyDescent="0.35">
      <c r="A678" s="1">
        <v>45169</v>
      </c>
      <c r="B678">
        <v>1938.199951171875</v>
      </c>
      <c r="C678">
        <v>1.1388094995187765</v>
      </c>
      <c r="D678" s="2">
        <v>-3.1423581073141311E-3</v>
      </c>
      <c r="E678" s="2">
        <v>9.6754472282134887E-4</v>
      </c>
    </row>
    <row r="679" spans="1:5" x14ac:dyDescent="0.35">
      <c r="A679" s="1">
        <v>45170</v>
      </c>
      <c r="B679">
        <v>1939.800048828125</v>
      </c>
      <c r="C679">
        <v>1.1322463898933413</v>
      </c>
      <c r="D679" s="2">
        <v>8.2521802323535988E-4</v>
      </c>
      <c r="E679" s="2">
        <v>-5.7798030657844265E-3</v>
      </c>
    </row>
    <row r="680" spans="1:5" x14ac:dyDescent="0.35">
      <c r="A680" s="1">
        <v>45174</v>
      </c>
      <c r="B680">
        <v>1926.199951171875</v>
      </c>
      <c r="C680">
        <v>1.1302372672768222</v>
      </c>
      <c r="D680" s="2">
        <v>-7.0357753538675908E-3</v>
      </c>
      <c r="E680" s="2">
        <v>-1.7760332882542477E-3</v>
      </c>
    </row>
    <row r="681" spans="1:5" x14ac:dyDescent="0.35">
      <c r="A681" s="1">
        <v>45175</v>
      </c>
      <c r="B681">
        <v>1918.0999755859375</v>
      </c>
      <c r="C681">
        <v>1.1243661490060508</v>
      </c>
      <c r="D681" s="2">
        <v>-4.2140247779170774E-3</v>
      </c>
      <c r="E681" s="2">
        <v>-5.2081279566420259E-3</v>
      </c>
    </row>
    <row r="682" spans="1:5" x14ac:dyDescent="0.35">
      <c r="A682" s="1">
        <v>45176</v>
      </c>
      <c r="B682">
        <v>1917.5</v>
      </c>
      <c r="C682">
        <v>1.1218811893833704</v>
      </c>
      <c r="D682" s="2">
        <v>-3.1284575797786132E-4</v>
      </c>
      <c r="E682" s="2">
        <v>-2.2125440898162693E-3</v>
      </c>
    </row>
    <row r="683" spans="1:5" x14ac:dyDescent="0.35">
      <c r="A683" s="1">
        <v>45177</v>
      </c>
      <c r="B683">
        <v>1918.4000244140625</v>
      </c>
      <c r="C683">
        <v>1.120234831636755</v>
      </c>
      <c r="D683" s="2">
        <v>4.6926375810114266E-4</v>
      </c>
      <c r="E683" s="2">
        <v>-1.4685752450578457E-3</v>
      </c>
    </row>
    <row r="684" spans="1:5" x14ac:dyDescent="0.35">
      <c r="A684" s="1">
        <v>45180</v>
      </c>
      <c r="B684">
        <v>1923.300048828125</v>
      </c>
      <c r="C684">
        <v>1.1210762086127775</v>
      </c>
      <c r="D684" s="2">
        <v>2.5509680494884674E-3</v>
      </c>
      <c r="E684" s="2">
        <v>7.5079005139015243E-4</v>
      </c>
    </row>
    <row r="685" spans="1:5" x14ac:dyDescent="0.35">
      <c r="A685" s="1">
        <v>45181</v>
      </c>
      <c r="B685">
        <v>1911.300048828125</v>
      </c>
      <c r="C685">
        <v>1.1220699700635828</v>
      </c>
      <c r="D685" s="2">
        <v>-6.258821711373876E-3</v>
      </c>
      <c r="E685" s="2">
        <v>8.8604258185812578E-4</v>
      </c>
    </row>
    <row r="686" spans="1:5" x14ac:dyDescent="0.35">
      <c r="A686" s="1">
        <v>45182</v>
      </c>
      <c r="B686">
        <v>1909.0999755859375</v>
      </c>
      <c r="C686">
        <v>1.1218433808582162</v>
      </c>
      <c r="D686" s="2">
        <v>-1.151750325271196E-3</v>
      </c>
      <c r="E686" s="2">
        <v>-2.0195896249170764E-4</v>
      </c>
    </row>
    <row r="687" spans="1:5" x14ac:dyDescent="0.35">
      <c r="A687" s="1">
        <v>45183</v>
      </c>
      <c r="B687">
        <v>1910</v>
      </c>
      <c r="C687">
        <v>1.1195701098315034</v>
      </c>
      <c r="D687" s="2">
        <v>4.7132802831968489E-4</v>
      </c>
      <c r="E687" s="2">
        <v>-2.0284269864585063E-3</v>
      </c>
    </row>
    <row r="688" spans="1:5" x14ac:dyDescent="0.35">
      <c r="A688" s="1">
        <v>45184</v>
      </c>
      <c r="B688">
        <v>1923.699951171875</v>
      </c>
      <c r="C688">
        <v>1.1155734360629124</v>
      </c>
      <c r="D688" s="2">
        <v>7.1471474890586499E-3</v>
      </c>
      <c r="E688" s="2">
        <v>-3.5762159754734639E-3</v>
      </c>
    </row>
    <row r="689" spans="1:5" x14ac:dyDescent="0.35">
      <c r="A689" s="1">
        <v>45187</v>
      </c>
      <c r="B689">
        <v>1931.5</v>
      </c>
      <c r="C689">
        <v>1.1149763985190815</v>
      </c>
      <c r="D689" s="2">
        <v>4.0465135766017896E-3</v>
      </c>
      <c r="E689" s="2">
        <v>-5.3532770156717181E-4</v>
      </c>
    </row>
    <row r="690" spans="1:5" x14ac:dyDescent="0.35">
      <c r="A690" s="1">
        <v>45188</v>
      </c>
      <c r="B690">
        <v>1932</v>
      </c>
      <c r="C690">
        <v>1.1145165825802179</v>
      </c>
      <c r="D690" s="2">
        <v>2.5883266612720474E-4</v>
      </c>
      <c r="E690" s="2">
        <v>-4.124847660712614E-4</v>
      </c>
    </row>
    <row r="691" spans="1:5" x14ac:dyDescent="0.35">
      <c r="A691" s="1">
        <v>45189</v>
      </c>
      <c r="B691">
        <v>1945.5999755859375</v>
      </c>
      <c r="C691">
        <v>1.1144420315597523</v>
      </c>
      <c r="D691" s="2">
        <v>7.0146644510382973E-3</v>
      </c>
      <c r="E691" s="2">
        <v>-6.6893140160149774E-5</v>
      </c>
    </row>
    <row r="692" spans="1:5" x14ac:dyDescent="0.35">
      <c r="A692" s="1">
        <v>45190</v>
      </c>
      <c r="B692">
        <v>1919.199951171875</v>
      </c>
      <c r="C692">
        <v>1.1120996166464261</v>
      </c>
      <c r="D692" s="2">
        <v>-1.3661993139932882E-2</v>
      </c>
      <c r="E692" s="2">
        <v>-2.1040844031843561E-3</v>
      </c>
    </row>
    <row r="693" spans="1:5" x14ac:dyDescent="0.35">
      <c r="A693" s="1">
        <v>45191</v>
      </c>
      <c r="B693">
        <v>1925.4000244140625</v>
      </c>
      <c r="C693">
        <v>1.1056198333927423</v>
      </c>
      <c r="D693" s="2">
        <v>3.2253439402924861E-3</v>
      </c>
      <c r="E693" s="2">
        <v>-5.8436622297484211E-3</v>
      </c>
    </row>
    <row r="694" spans="1:5" x14ac:dyDescent="0.35">
      <c r="A694" s="1">
        <v>45194</v>
      </c>
      <c r="B694">
        <v>1916.5999755859375</v>
      </c>
      <c r="C694">
        <v>1.1024142607476779</v>
      </c>
      <c r="D694" s="2">
        <v>-4.5809808524142244E-3</v>
      </c>
      <c r="E694" s="2">
        <v>-2.9035556159711377E-3</v>
      </c>
    </row>
    <row r="695" spans="1:5" x14ac:dyDescent="0.35">
      <c r="A695" s="1">
        <v>45195</v>
      </c>
      <c r="B695">
        <v>1900.4000244140625</v>
      </c>
      <c r="C695">
        <v>1.0963950651943781</v>
      </c>
      <c r="D695" s="2">
        <v>-8.4883670118787724E-3</v>
      </c>
      <c r="E695" s="2">
        <v>-5.4749727662959076E-3</v>
      </c>
    </row>
    <row r="696" spans="1:5" x14ac:dyDescent="0.35">
      <c r="A696" s="1">
        <v>45196</v>
      </c>
      <c r="B696">
        <v>1871.5999755859375</v>
      </c>
      <c r="C696">
        <v>1.0919891905071257</v>
      </c>
      <c r="D696" s="2">
        <v>-1.5270736211994373E-2</v>
      </c>
      <c r="E696" s="2">
        <v>-4.0266060484396198E-3</v>
      </c>
    </row>
    <row r="697" spans="1:5" x14ac:dyDescent="0.35">
      <c r="A697" s="1">
        <v>45197</v>
      </c>
      <c r="B697">
        <v>1860.4000244140625</v>
      </c>
      <c r="C697">
        <v>1.0859885780095744</v>
      </c>
      <c r="D697" s="2">
        <v>-6.002135474614082E-3</v>
      </c>
      <c r="E697" s="2">
        <v>-5.5102745008666605E-3</v>
      </c>
    </row>
    <row r="698" spans="1:5" x14ac:dyDescent="0.35">
      <c r="A698" s="1">
        <v>45198</v>
      </c>
      <c r="B698">
        <v>1848.0999755859375</v>
      </c>
      <c r="C698">
        <v>1.0931829190690165</v>
      </c>
      <c r="D698" s="2">
        <v>-6.6334603916072153E-3</v>
      </c>
      <c r="E698" s="2">
        <v>6.6028462716731604E-3</v>
      </c>
    </row>
    <row r="699" spans="1:5" x14ac:dyDescent="0.35">
      <c r="A699" s="1">
        <v>45201</v>
      </c>
      <c r="B699">
        <v>1830</v>
      </c>
      <c r="C699">
        <v>1.0923231318077249</v>
      </c>
      <c r="D699" s="2">
        <v>-9.8421042458859825E-3</v>
      </c>
      <c r="E699" s="2">
        <v>-7.8680844219332282E-4</v>
      </c>
    </row>
    <row r="700" spans="1:5" x14ac:dyDescent="0.35">
      <c r="A700" s="1">
        <v>45202</v>
      </c>
      <c r="B700">
        <v>1824.5999755859375</v>
      </c>
      <c r="C700">
        <v>1.0894432638019425</v>
      </c>
      <c r="D700" s="2">
        <v>-2.9551953045939619E-3</v>
      </c>
      <c r="E700" s="2">
        <v>-2.6399431984402318E-3</v>
      </c>
    </row>
    <row r="701" spans="1:5" x14ac:dyDescent="0.35">
      <c r="A701" s="1">
        <v>45203</v>
      </c>
      <c r="B701">
        <v>1818.5</v>
      </c>
      <c r="C701">
        <v>1.08581167179773</v>
      </c>
      <c r="D701" s="2">
        <v>-3.3487861038289848E-3</v>
      </c>
      <c r="E701" s="2">
        <v>-3.339006678085676E-3</v>
      </c>
    </row>
    <row r="702" spans="1:5" x14ac:dyDescent="0.35">
      <c r="A702" s="1">
        <v>45204</v>
      </c>
      <c r="B702">
        <v>1816.5999755859375</v>
      </c>
      <c r="C702">
        <v>1.0909765300981313</v>
      </c>
      <c r="D702" s="2">
        <v>-1.0453767983573286E-3</v>
      </c>
      <c r="E702" s="2">
        <v>4.7454024127099358E-3</v>
      </c>
    </row>
    <row r="703" spans="1:5" x14ac:dyDescent="0.35">
      <c r="A703" s="1">
        <v>45205</v>
      </c>
      <c r="B703">
        <v>1830.199951171875</v>
      </c>
      <c r="C703">
        <v>1.0957823015508088</v>
      </c>
      <c r="D703" s="2">
        <v>7.4586151734713311E-3</v>
      </c>
      <c r="E703" s="2">
        <v>4.3953444888698342E-3</v>
      </c>
    </row>
    <row r="704" spans="1:5" x14ac:dyDescent="0.35">
      <c r="A704" s="1">
        <v>45208</v>
      </c>
      <c r="B704">
        <v>1849.5</v>
      </c>
      <c r="C704">
        <v>1.1004732164128117</v>
      </c>
      <c r="D704" s="2">
        <v>1.0490108470351069E-2</v>
      </c>
      <c r="E704" s="2">
        <v>4.2717452107690675E-3</v>
      </c>
    </row>
    <row r="705" spans="1:5" x14ac:dyDescent="0.35">
      <c r="A705" s="1">
        <v>45209</v>
      </c>
      <c r="B705">
        <v>1861</v>
      </c>
      <c r="C705">
        <v>1.1051677735987862</v>
      </c>
      <c r="D705" s="2">
        <v>6.1986453697419836E-3</v>
      </c>
      <c r="E705" s="2">
        <v>4.2568707204701873E-3</v>
      </c>
    </row>
    <row r="706" spans="1:5" x14ac:dyDescent="0.35">
      <c r="A706" s="1">
        <v>45210</v>
      </c>
      <c r="B706">
        <v>1872.800048828125</v>
      </c>
      <c r="C706">
        <v>1.105522063338739</v>
      </c>
      <c r="D706" s="2">
        <v>6.3206856067081355E-3</v>
      </c>
      <c r="E706" s="2">
        <v>3.2052415229514615E-4</v>
      </c>
    </row>
    <row r="707" spans="1:5" x14ac:dyDescent="0.35">
      <c r="A707" s="1">
        <v>45211</v>
      </c>
      <c r="B707">
        <v>1869.300048828125</v>
      </c>
      <c r="C707">
        <v>1.1098902203901218</v>
      </c>
      <c r="D707" s="2">
        <v>-1.8706079095983437E-3</v>
      </c>
      <c r="E707" s="2">
        <v>3.9434309758978403E-3</v>
      </c>
    </row>
    <row r="708" spans="1:5" x14ac:dyDescent="0.35">
      <c r="A708" s="1">
        <v>45212</v>
      </c>
      <c r="B708">
        <v>1927.4000244140625</v>
      </c>
      <c r="C708">
        <v>1.1015399694248955</v>
      </c>
      <c r="D708" s="2">
        <v>3.060790174466398E-2</v>
      </c>
      <c r="E708" s="2">
        <v>-7.5519369224794387E-3</v>
      </c>
    </row>
    <row r="709" spans="1:5" x14ac:dyDescent="0.35">
      <c r="A709" s="1">
        <v>45215</v>
      </c>
      <c r="B709">
        <v>1921.0999755859375</v>
      </c>
      <c r="C709">
        <v>1.1080454942022697</v>
      </c>
      <c r="D709" s="2">
        <v>-3.274031158004244E-3</v>
      </c>
      <c r="E709" s="2">
        <v>5.8884742701629019E-3</v>
      </c>
    </row>
    <row r="710" spans="1:5" x14ac:dyDescent="0.35">
      <c r="A710" s="1">
        <v>45216</v>
      </c>
      <c r="B710">
        <v>1922.699951171875</v>
      </c>
      <c r="C710">
        <v>1.1105311443810906</v>
      </c>
      <c r="D710" s="2">
        <v>8.3249685666777465E-4</v>
      </c>
      <c r="E710" s="2">
        <v>2.24076209551049E-3</v>
      </c>
    </row>
    <row r="711" spans="1:5" x14ac:dyDescent="0.35">
      <c r="A711" s="1">
        <v>45217</v>
      </c>
      <c r="B711">
        <v>1955.300048828125</v>
      </c>
      <c r="C711">
        <v>1.1109753174221626</v>
      </c>
      <c r="D711" s="2">
        <v>1.6813236521731816E-2</v>
      </c>
      <c r="E711" s="2">
        <v>3.9988454197900408E-4</v>
      </c>
    </row>
    <row r="712" spans="1:5" x14ac:dyDescent="0.35">
      <c r="A712" s="1">
        <v>45218</v>
      </c>
      <c r="B712">
        <v>1968.4000244140625</v>
      </c>
      <c r="C712">
        <v>1.1128793513556396</v>
      </c>
      <c r="D712" s="2">
        <v>6.6773830904018538E-3</v>
      </c>
      <c r="E712" s="2">
        <v>1.7123730479901768E-3</v>
      </c>
    </row>
    <row r="713" spans="1:5" x14ac:dyDescent="0.35">
      <c r="A713" s="1">
        <v>45219</v>
      </c>
      <c r="B713">
        <v>1982.5</v>
      </c>
      <c r="C713">
        <v>1.1213402600617721</v>
      </c>
      <c r="D713" s="2">
        <v>7.1376321141812813E-3</v>
      </c>
      <c r="E713" s="2">
        <v>7.5739637316525575E-3</v>
      </c>
    </row>
    <row r="714" spans="1:5" x14ac:dyDescent="0.35">
      <c r="A714" s="1">
        <v>45222</v>
      </c>
      <c r="B714">
        <v>1976.300048828125</v>
      </c>
      <c r="C714">
        <v>1.1195701098315034</v>
      </c>
      <c r="D714" s="2">
        <v>-3.1322401557761035E-3</v>
      </c>
      <c r="E714" s="2">
        <v>-1.5798495310038897E-3</v>
      </c>
    </row>
    <row r="715" spans="1:5" x14ac:dyDescent="0.35">
      <c r="A715" s="1">
        <v>45223</v>
      </c>
      <c r="B715">
        <v>1975</v>
      </c>
      <c r="C715">
        <v>1.1228385034750523</v>
      </c>
      <c r="D715" s="2">
        <v>-6.5803601800473461E-4</v>
      </c>
      <c r="E715" s="2">
        <v>2.9150761717834377E-3</v>
      </c>
    </row>
    <row r="716" spans="1:5" x14ac:dyDescent="0.35">
      <c r="A716" s="1">
        <v>45224</v>
      </c>
      <c r="B716">
        <v>1984.0999755859375</v>
      </c>
      <c r="C716">
        <v>1.1197455580004647</v>
      </c>
      <c r="D716" s="2">
        <v>4.5970001603473989E-3</v>
      </c>
      <c r="E716" s="2">
        <v>-2.7583781485072067E-3</v>
      </c>
    </row>
    <row r="717" spans="1:5" x14ac:dyDescent="0.35">
      <c r="A717" s="1">
        <v>45225</v>
      </c>
      <c r="B717">
        <v>1987.199951171875</v>
      </c>
      <c r="C717">
        <v>1.1152001478317457</v>
      </c>
      <c r="D717" s="2">
        <v>1.5611896722705911E-3</v>
      </c>
      <c r="E717" s="2">
        <v>-4.0675855560478678E-3</v>
      </c>
    </row>
    <row r="718" spans="1:5" x14ac:dyDescent="0.35">
      <c r="A718" s="1">
        <v>45226</v>
      </c>
      <c r="B718">
        <v>1988.5999755859375</v>
      </c>
      <c r="C718">
        <v>1.1125574400036076</v>
      </c>
      <c r="D718" s="2">
        <v>7.0427310112253379E-4</v>
      </c>
      <c r="E718" s="2">
        <v>-2.3725283955441964E-3</v>
      </c>
    </row>
    <row r="719" spans="1:5" x14ac:dyDescent="0.35">
      <c r="A719" s="1">
        <v>45229</v>
      </c>
      <c r="B719">
        <v>1996.199951171875</v>
      </c>
      <c r="C719">
        <v>1.1081560077570582</v>
      </c>
      <c r="D719" s="2">
        <v>3.8144875229852628E-3</v>
      </c>
      <c r="E719" s="2">
        <v>-3.9639855510052464E-3</v>
      </c>
    </row>
    <row r="720" spans="1:5" x14ac:dyDescent="0.35">
      <c r="A720" s="1">
        <v>45230</v>
      </c>
      <c r="B720">
        <v>1985.199951171875</v>
      </c>
      <c r="C720">
        <v>1.1085737431243643</v>
      </c>
      <c r="D720" s="2">
        <v>-5.5257086747362814E-3</v>
      </c>
      <c r="E720" s="2">
        <v>3.7689336923889038E-4</v>
      </c>
    </row>
    <row r="721" spans="1:5" x14ac:dyDescent="0.35">
      <c r="A721" s="1">
        <v>45231</v>
      </c>
      <c r="B721">
        <v>1978.800048828125</v>
      </c>
      <c r="C721">
        <v>1.0991426771290791</v>
      </c>
      <c r="D721" s="2">
        <v>-3.2290150880346837E-3</v>
      </c>
      <c r="E721" s="2">
        <v>-8.5437815092812303E-3</v>
      </c>
    </row>
    <row r="722" spans="1:5" x14ac:dyDescent="0.35">
      <c r="A722" s="1">
        <v>45232</v>
      </c>
      <c r="B722">
        <v>1985.5999755859375</v>
      </c>
      <c r="C722">
        <v>1.1043012496603613</v>
      </c>
      <c r="D722" s="2">
        <v>3.430498125606122E-3</v>
      </c>
      <c r="E722" s="2">
        <v>4.6822902032628826E-3</v>
      </c>
    </row>
    <row r="723" spans="1:5" x14ac:dyDescent="0.35">
      <c r="A723" s="1">
        <v>45233</v>
      </c>
      <c r="B723">
        <v>1991.5</v>
      </c>
      <c r="C723">
        <v>1.1036309761288687</v>
      </c>
      <c r="D723" s="2">
        <v>2.9670004669155115E-3</v>
      </c>
      <c r="E723" s="2">
        <v>-6.0715047704260777E-4</v>
      </c>
    </row>
    <row r="724" spans="1:5" x14ac:dyDescent="0.35">
      <c r="A724" s="1">
        <v>45236</v>
      </c>
      <c r="B724">
        <v>1981.5999755859375</v>
      </c>
      <c r="C724">
        <v>1.1120873060484255</v>
      </c>
      <c r="D724" s="2">
        <v>-4.9835367669279649E-3</v>
      </c>
      <c r="E724" s="2">
        <v>7.6330741554215672E-3</v>
      </c>
    </row>
    <row r="725" spans="1:5" x14ac:dyDescent="0.35">
      <c r="A725" s="1">
        <v>45237</v>
      </c>
      <c r="B725">
        <v>1966.800048828125</v>
      </c>
      <c r="C725">
        <v>1.1120996166464261</v>
      </c>
      <c r="D725" s="2">
        <v>-7.4967054908099675E-3</v>
      </c>
      <c r="E725" s="2">
        <v>1.1069751265146828E-5</v>
      </c>
    </row>
    <row r="726" spans="1:5" x14ac:dyDescent="0.35">
      <c r="A726" s="1">
        <v>45238</v>
      </c>
      <c r="B726">
        <v>1951.5</v>
      </c>
      <c r="C726">
        <v>1.1111481555290681</v>
      </c>
      <c r="D726" s="2">
        <v>-7.8095737432913991E-3</v>
      </c>
      <c r="E726" s="2">
        <v>-8.5592005295356214E-4</v>
      </c>
    </row>
    <row r="727" spans="1:5" x14ac:dyDescent="0.35">
      <c r="A727" s="1">
        <v>45239</v>
      </c>
      <c r="B727">
        <v>1964.199951171875</v>
      </c>
      <c r="C727">
        <v>1.1122481024504081</v>
      </c>
      <c r="D727" s="2">
        <v>6.4867052439646052E-3</v>
      </c>
      <c r="E727" s="2">
        <v>9.894295784002821E-4</v>
      </c>
    </row>
    <row r="728" spans="1:5" x14ac:dyDescent="0.35">
      <c r="A728" s="1">
        <v>45240</v>
      </c>
      <c r="B728">
        <v>1932.5999755859375</v>
      </c>
      <c r="C728">
        <v>1.1072357588526078</v>
      </c>
      <c r="D728" s="2">
        <v>-1.6218778932181269E-2</v>
      </c>
      <c r="E728" s="2">
        <v>-4.5166826453201811E-3</v>
      </c>
    </row>
    <row r="729" spans="1:5" x14ac:dyDescent="0.35">
      <c r="A729" s="1">
        <v>45243</v>
      </c>
      <c r="B729">
        <v>1945.5</v>
      </c>
      <c r="C729">
        <v>1.108672053715682</v>
      </c>
      <c r="D729" s="2">
        <v>6.6527794921554017E-3</v>
      </c>
      <c r="E729" s="2">
        <v>1.2963491135068509E-3</v>
      </c>
    </row>
    <row r="730" spans="1:5" x14ac:dyDescent="0.35">
      <c r="A730" s="1">
        <v>45244</v>
      </c>
      <c r="B730">
        <v>1961.800048828125</v>
      </c>
      <c r="C730">
        <v>1.1096316066527303</v>
      </c>
      <c r="D730" s="2">
        <v>8.3434305950576618E-3</v>
      </c>
      <c r="E730" s="2">
        <v>8.651232146784459E-4</v>
      </c>
    </row>
    <row r="731" spans="1:5" x14ac:dyDescent="0.35">
      <c r="A731" s="1">
        <v>45245</v>
      </c>
      <c r="B731">
        <v>1960.0999755859375</v>
      </c>
      <c r="C731">
        <v>1.1247328567598711</v>
      </c>
      <c r="D731" s="2">
        <v>-8.6696414395553013E-4</v>
      </c>
      <c r="E731" s="2">
        <v>1.3517472460756807E-2</v>
      </c>
    </row>
    <row r="732" spans="1:5" x14ac:dyDescent="0.35">
      <c r="A732" s="1">
        <v>45246</v>
      </c>
      <c r="B732">
        <v>1983.9000244140625</v>
      </c>
      <c r="C732">
        <v>1.1272940259023663</v>
      </c>
      <c r="D732" s="2">
        <v>1.2069136779111171E-2</v>
      </c>
      <c r="E732" s="2">
        <v>2.2745467795348075E-3</v>
      </c>
    </row>
    <row r="733" spans="1:5" x14ac:dyDescent="0.35">
      <c r="A733" s="1">
        <v>45247</v>
      </c>
      <c r="B733">
        <v>1981.5999755859375</v>
      </c>
      <c r="C733">
        <v>1.1255177284705493</v>
      </c>
      <c r="D733" s="2">
        <v>-1.1600298000505828E-3</v>
      </c>
      <c r="E733" s="2">
        <v>-1.5769606994261946E-3</v>
      </c>
    </row>
    <row r="734" spans="1:5" x14ac:dyDescent="0.35">
      <c r="A734" s="1">
        <v>45250</v>
      </c>
      <c r="B734">
        <v>1977.699951171875</v>
      </c>
      <c r="C734">
        <v>1.1287573488208213</v>
      </c>
      <c r="D734" s="2">
        <v>-1.9700582161407579E-3</v>
      </c>
      <c r="E734" s="2">
        <v>2.8742034307413021E-3</v>
      </c>
    </row>
    <row r="735" spans="1:5" x14ac:dyDescent="0.35">
      <c r="A735" s="1">
        <v>45251</v>
      </c>
      <c r="B735">
        <v>1999.300048828125</v>
      </c>
      <c r="C735">
        <v>1.1307612087780772</v>
      </c>
      <c r="D735" s="2">
        <v>1.0862615061766792E-2</v>
      </c>
      <c r="E735" s="2">
        <v>1.7737057090037121E-3</v>
      </c>
    </row>
    <row r="736" spans="1:5" x14ac:dyDescent="0.35">
      <c r="A736" s="1">
        <v>45252</v>
      </c>
      <c r="B736">
        <v>1991.4000244140625</v>
      </c>
      <c r="C736">
        <v>1.1322719885172079</v>
      </c>
      <c r="D736" s="2">
        <v>-3.9592224866650304E-3</v>
      </c>
      <c r="E736" s="2">
        <v>1.3351814417716004E-3</v>
      </c>
    </row>
    <row r="737" spans="1:5" x14ac:dyDescent="0.35">
      <c r="A737" s="1">
        <v>45254</v>
      </c>
      <c r="B737">
        <v>2002.199951171875</v>
      </c>
      <c r="C737">
        <v>1.1306206155909746</v>
      </c>
      <c r="D737" s="2">
        <v>5.4086303844145013E-3</v>
      </c>
      <c r="E737" s="2">
        <v>-1.459524165117678E-3</v>
      </c>
    </row>
    <row r="738" spans="1:5" x14ac:dyDescent="0.35">
      <c r="A738" s="1">
        <v>45257</v>
      </c>
      <c r="B738">
        <v>2011.800048828125</v>
      </c>
      <c r="C738">
        <v>1.1334655568931649</v>
      </c>
      <c r="D738" s="2">
        <v>4.7833163729554557E-3</v>
      </c>
      <c r="E738" s="2">
        <v>2.5131046989997938E-3</v>
      </c>
    </row>
    <row r="739" spans="1:5" x14ac:dyDescent="0.35">
      <c r="A739" s="1">
        <v>45258</v>
      </c>
      <c r="B739">
        <v>2039.699951171875</v>
      </c>
      <c r="C739">
        <v>1.136363642521141</v>
      </c>
      <c r="D739" s="2">
        <v>1.3772846290545529E-2</v>
      </c>
      <c r="E739" s="2">
        <v>2.5535729327367715E-3</v>
      </c>
    </row>
    <row r="740" spans="1:5" x14ac:dyDescent="0.35">
      <c r="A740" s="1">
        <v>45259</v>
      </c>
      <c r="B740">
        <v>2047.0999755859375</v>
      </c>
      <c r="C740">
        <v>1.1403808647682858</v>
      </c>
      <c r="D740" s="2">
        <v>3.6214312587581126E-3</v>
      </c>
      <c r="E740" s="2">
        <v>3.5289215836477911E-3</v>
      </c>
    </row>
    <row r="741" spans="1:5" x14ac:dyDescent="0.35">
      <c r="A741" s="1">
        <v>45260</v>
      </c>
      <c r="B741">
        <v>2038.0999755859375</v>
      </c>
      <c r="C741">
        <v>1.145055671361719</v>
      </c>
      <c r="D741" s="2">
        <v>-4.4061562069063493E-3</v>
      </c>
      <c r="E741" s="2">
        <v>4.0909585887008515E-3</v>
      </c>
    </row>
    <row r="742" spans="1:5" x14ac:dyDescent="0.35">
      <c r="A742" s="1">
        <v>45261</v>
      </c>
      <c r="B742">
        <v>2071</v>
      </c>
      <c r="C742">
        <v>1.1433013773684166</v>
      </c>
      <c r="D742" s="2">
        <v>1.6013593082084946E-2</v>
      </c>
      <c r="E742" s="2">
        <v>-1.5332348052445645E-3</v>
      </c>
    </row>
    <row r="743" spans="1:5" x14ac:dyDescent="0.35">
      <c r="A743" s="1">
        <v>45264</v>
      </c>
      <c r="B743">
        <v>2024.0999755859375</v>
      </c>
      <c r="C743">
        <v>1.1522728507420996</v>
      </c>
      <c r="D743" s="2">
        <v>-2.2906437155782732E-2</v>
      </c>
      <c r="E743" s="2">
        <v>7.8163615361845993E-3</v>
      </c>
    </row>
    <row r="744" spans="1:5" x14ac:dyDescent="0.35">
      <c r="A744" s="1">
        <v>45265</v>
      </c>
      <c r="B744">
        <v>2018.5</v>
      </c>
      <c r="C744">
        <v>1.1461186481562156</v>
      </c>
      <c r="D744" s="2">
        <v>-2.7704839468059126E-3</v>
      </c>
      <c r="E744" s="2">
        <v>-5.3552384758144443E-3</v>
      </c>
    </row>
    <row r="745" spans="1:5" x14ac:dyDescent="0.35">
      <c r="A745" s="1">
        <v>45266</v>
      </c>
      <c r="B745">
        <v>2030.5</v>
      </c>
      <c r="C745">
        <v>1.1429407609106621</v>
      </c>
      <c r="D745" s="2">
        <v>5.9274068333569612E-3</v>
      </c>
      <c r="E745" s="2">
        <v>-2.7765896110975548E-3</v>
      </c>
    </row>
    <row r="746" spans="1:5" x14ac:dyDescent="0.35">
      <c r="A746" s="1">
        <v>45267</v>
      </c>
      <c r="B746">
        <v>2029.9000244140625</v>
      </c>
      <c r="C746">
        <v>1.1433275562313379</v>
      </c>
      <c r="D746" s="2">
        <v>-2.9552536040616107E-4</v>
      </c>
      <c r="E746" s="2">
        <v>3.383638932193701E-4</v>
      </c>
    </row>
    <row r="747" spans="1:5" x14ac:dyDescent="0.35">
      <c r="A747" s="1">
        <v>45268</v>
      </c>
      <c r="B747">
        <v>1998.300048828125</v>
      </c>
      <c r="C747">
        <v>1.1422827358820586</v>
      </c>
      <c r="D747" s="2">
        <v>-1.568969924387106E-2</v>
      </c>
      <c r="E747" s="2">
        <v>-9.1425946554602084E-4</v>
      </c>
    </row>
    <row r="748" spans="1:5" x14ac:dyDescent="0.35">
      <c r="A748" s="1">
        <v>45271</v>
      </c>
      <c r="B748">
        <v>1978</v>
      </c>
      <c r="C748">
        <v>1.1368545306393496</v>
      </c>
      <c r="D748" s="2">
        <v>-1.0210610339417879E-2</v>
      </c>
      <c r="E748" s="2">
        <v>-4.7633949795315485E-3</v>
      </c>
    </row>
    <row r="749" spans="1:5" x14ac:dyDescent="0.35">
      <c r="A749" s="1">
        <v>45272</v>
      </c>
      <c r="B749">
        <v>1977.800048828125</v>
      </c>
      <c r="C749">
        <v>1.1388224861497767</v>
      </c>
      <c r="D749" s="2">
        <v>-1.0109265866683018E-4</v>
      </c>
      <c r="E749" s="2">
        <v>1.7295565112985445E-3</v>
      </c>
    </row>
    <row r="750" spans="1:5" x14ac:dyDescent="0.35">
      <c r="A750" s="1">
        <v>45273</v>
      </c>
      <c r="B750">
        <v>1982.300048828125</v>
      </c>
      <c r="C750">
        <v>1.1426873751255342</v>
      </c>
      <c r="D750" s="2">
        <v>2.2726708042306704E-3</v>
      </c>
      <c r="E750" s="2">
        <v>3.3880131208958463E-3</v>
      </c>
    </row>
    <row r="751" spans="1:5" x14ac:dyDescent="0.35">
      <c r="A751" s="1">
        <v>45274</v>
      </c>
      <c r="B751">
        <v>2030.199951171875</v>
      </c>
      <c r="C751">
        <v>1.1481451572946142</v>
      </c>
      <c r="D751" s="2">
        <v>2.3876474971215301E-2</v>
      </c>
      <c r="E751" s="2">
        <v>4.7648987152738532E-3</v>
      </c>
    </row>
    <row r="752" spans="1:5" x14ac:dyDescent="0.35">
      <c r="A752" s="1">
        <v>45275</v>
      </c>
      <c r="B752">
        <v>2021.0999755859375</v>
      </c>
      <c r="C752">
        <v>1.1532296441297505</v>
      </c>
      <c r="D752" s="2">
        <v>-4.4923807443041424E-3</v>
      </c>
      <c r="E752" s="2">
        <v>4.4186588857045165E-3</v>
      </c>
    </row>
    <row r="753" spans="1:5" x14ac:dyDescent="0.35">
      <c r="A753" s="1">
        <v>45278</v>
      </c>
      <c r="B753">
        <v>2026.300048828125</v>
      </c>
      <c r="C753">
        <v>1.1486172611735941</v>
      </c>
      <c r="D753" s="2">
        <v>2.5695884133355284E-3</v>
      </c>
      <c r="E753" s="2">
        <v>-4.0075550799014174E-3</v>
      </c>
    </row>
    <row r="754" spans="1:5" x14ac:dyDescent="0.35">
      <c r="A754" s="1">
        <v>45279</v>
      </c>
      <c r="B754">
        <v>2038.4000244140625</v>
      </c>
      <c r="C754">
        <v>1.1532562003649789</v>
      </c>
      <c r="D754" s="2">
        <v>5.9537043864478579E-3</v>
      </c>
      <c r="E754" s="2">
        <v>4.0305825225305462E-3</v>
      </c>
    </row>
    <row r="755" spans="1:5" x14ac:dyDescent="0.35">
      <c r="A755" s="1">
        <v>45280</v>
      </c>
      <c r="B755">
        <v>2034.5</v>
      </c>
      <c r="C755">
        <v>1.1623852084039015</v>
      </c>
      <c r="D755" s="2">
        <v>-1.9151099131709602E-3</v>
      </c>
      <c r="E755" s="2">
        <v>7.8846882759019098E-3</v>
      </c>
    </row>
    <row r="756" spans="1:5" x14ac:dyDescent="0.35">
      <c r="A756" s="1">
        <v>45281</v>
      </c>
      <c r="B756">
        <v>2039.0999755859375</v>
      </c>
      <c r="C756">
        <v>1.1594740394361229</v>
      </c>
      <c r="D756" s="2">
        <v>2.2584336059977327E-3</v>
      </c>
      <c r="E756" s="2">
        <v>-2.5076201289786593E-3</v>
      </c>
    </row>
    <row r="757" spans="1:5" x14ac:dyDescent="0.35">
      <c r="A757" s="1">
        <v>45282</v>
      </c>
      <c r="B757">
        <v>2057.10009765625</v>
      </c>
      <c r="C757">
        <v>1.1678559125068122</v>
      </c>
      <c r="D757" s="2">
        <v>8.7887493834622587E-3</v>
      </c>
      <c r="E757" s="2">
        <v>7.2030262007298455E-3</v>
      </c>
    </row>
    <row r="758" spans="1:5" x14ac:dyDescent="0.35">
      <c r="A758" s="1">
        <v>45286</v>
      </c>
      <c r="B758">
        <v>2058.199951171875</v>
      </c>
      <c r="C758">
        <v>1.1685792266942769</v>
      </c>
      <c r="D758" s="2">
        <v>5.3451924708380275E-4</v>
      </c>
      <c r="E758" s="2">
        <v>6.1916053087567448E-4</v>
      </c>
    </row>
    <row r="759" spans="1:5" x14ac:dyDescent="0.35">
      <c r="A759" s="1">
        <v>45287</v>
      </c>
      <c r="B759">
        <v>2081.89990234375</v>
      </c>
      <c r="C759">
        <v>1.1715363554955709</v>
      </c>
      <c r="D759" s="2">
        <v>1.1449100696166307E-2</v>
      </c>
      <c r="E759" s="2">
        <v>2.5273370237251435E-3</v>
      </c>
    </row>
    <row r="760" spans="1:5" x14ac:dyDescent="0.35">
      <c r="A760" s="1">
        <v>45288</v>
      </c>
      <c r="B760">
        <v>2073.89990234375</v>
      </c>
      <c r="C760">
        <v>1.187183200169375</v>
      </c>
      <c r="D760" s="2">
        <v>-3.8500458433421737E-3</v>
      </c>
      <c r="E760" s="2">
        <v>1.3267430759063623E-2</v>
      </c>
    </row>
    <row r="761" spans="1:5" x14ac:dyDescent="0.35">
      <c r="A761" s="1">
        <v>45289</v>
      </c>
      <c r="B761">
        <v>2062.39990234375</v>
      </c>
      <c r="C761">
        <v>1.1857332478728706</v>
      </c>
      <c r="D761" s="2">
        <v>-5.5605396969713086E-3</v>
      </c>
      <c r="E761" s="2">
        <v>-1.2220847288223742E-3</v>
      </c>
    </row>
    <row r="762" spans="1:5" x14ac:dyDescent="0.35">
      <c r="A762" s="1">
        <v>45293</v>
      </c>
      <c r="B762">
        <v>2064.39990234375</v>
      </c>
      <c r="C762">
        <v>1.1878036641115446</v>
      </c>
      <c r="D762" s="2">
        <v>9.6927413552285076E-4</v>
      </c>
      <c r="E762" s="2">
        <v>1.7445835818620063E-3</v>
      </c>
    </row>
    <row r="763" spans="1:5" x14ac:dyDescent="0.35">
      <c r="A763" s="1">
        <v>45294</v>
      </c>
      <c r="B763">
        <v>2034.199951171875</v>
      </c>
      <c r="C763">
        <v>1.1763045106564021</v>
      </c>
      <c r="D763" s="2">
        <v>-1.4736982781769346E-2</v>
      </c>
      <c r="E763" s="2">
        <v>-9.7281877922991682E-3</v>
      </c>
    </row>
    <row r="764" spans="1:5" x14ac:dyDescent="0.35">
      <c r="A764" s="1">
        <v>45295</v>
      </c>
      <c r="B764">
        <v>2042.300048828125</v>
      </c>
      <c r="C764">
        <v>1.1779950244973048</v>
      </c>
      <c r="D764" s="2">
        <v>3.9740504436172235E-3</v>
      </c>
      <c r="E764" s="2">
        <v>1.4361079431093877E-3</v>
      </c>
    </row>
    <row r="765" spans="1:5" x14ac:dyDescent="0.35">
      <c r="A765" s="1">
        <v>45296</v>
      </c>
      <c r="B765">
        <v>2042.4000244140625</v>
      </c>
      <c r="C765">
        <v>1.1764705552361838</v>
      </c>
      <c r="D765" s="2">
        <v>4.8951249376952092E-5</v>
      </c>
      <c r="E765" s="2">
        <v>-1.2949600854459031E-3</v>
      </c>
    </row>
    <row r="766" spans="1:5" x14ac:dyDescent="0.35">
      <c r="A766" s="1">
        <v>45299</v>
      </c>
      <c r="B766">
        <v>2026.5999755859375</v>
      </c>
      <c r="C766">
        <v>1.1754610719447602</v>
      </c>
      <c r="D766" s="2">
        <v>-7.7660989134802393E-3</v>
      </c>
      <c r="E766" s="2">
        <v>-8.5842916668820584E-4</v>
      </c>
    </row>
    <row r="767" spans="1:5" x14ac:dyDescent="0.35">
      <c r="A767" s="1">
        <v>45300</v>
      </c>
      <c r="B767">
        <v>2026.4000244140625</v>
      </c>
      <c r="C767">
        <v>1.179384398373023</v>
      </c>
      <c r="D767" s="2">
        <v>-9.8668231945362532E-5</v>
      </c>
      <c r="E767" s="2">
        <v>3.332133770822897E-3</v>
      </c>
    </row>
    <row r="768" spans="1:5" x14ac:dyDescent="0.35">
      <c r="A768" s="1">
        <v>45301</v>
      </c>
      <c r="B768">
        <v>2021.699951171875</v>
      </c>
      <c r="C768">
        <v>1.1731993995131325</v>
      </c>
      <c r="D768" s="2">
        <v>-2.3221142671955622E-3</v>
      </c>
      <c r="E768" s="2">
        <v>-5.258059768381027E-3</v>
      </c>
    </row>
    <row r="769" spans="1:5" x14ac:dyDescent="0.35">
      <c r="A769" s="1">
        <v>45302</v>
      </c>
      <c r="B769">
        <v>2014.300048828125</v>
      </c>
      <c r="C769">
        <v>1.1757789706960995</v>
      </c>
      <c r="D769" s="2">
        <v>-3.6669527431482853E-3</v>
      </c>
      <c r="E769" s="2">
        <v>2.1963354389688441E-3</v>
      </c>
    </row>
    <row r="770" spans="1:5" x14ac:dyDescent="0.35">
      <c r="A770" s="1">
        <v>45303</v>
      </c>
      <c r="B770">
        <v>2046.699951171875</v>
      </c>
      <c r="C770">
        <v>1.1750742895556732</v>
      </c>
      <c r="D770" s="2">
        <v>1.5956951403282443E-2</v>
      </c>
      <c r="E770" s="2">
        <v>-5.9951097199226449E-4</v>
      </c>
    </row>
    <row r="771" spans="1:5" x14ac:dyDescent="0.35">
      <c r="A771" s="1">
        <v>45307</v>
      </c>
      <c r="B771">
        <v>2026</v>
      </c>
      <c r="C771">
        <v>1.1682516232722866</v>
      </c>
      <c r="D771" s="2">
        <v>-1.0165310319773104E-2</v>
      </c>
      <c r="E771" s="2">
        <v>-5.8230786633192092E-3</v>
      </c>
    </row>
    <row r="772" spans="1:5" x14ac:dyDescent="0.35">
      <c r="A772" s="1">
        <v>45308</v>
      </c>
      <c r="B772">
        <v>2002.5999755859375</v>
      </c>
      <c r="C772">
        <v>1.1610356551071623</v>
      </c>
      <c r="D772" s="2">
        <v>-1.1617081726109013E-2</v>
      </c>
      <c r="E772" s="2">
        <v>-6.195879157133692E-3</v>
      </c>
    </row>
    <row r="773" spans="1:5" x14ac:dyDescent="0.35">
      <c r="A773" s="1">
        <v>45309</v>
      </c>
      <c r="B773">
        <v>2018.5999755859375</v>
      </c>
      <c r="C773">
        <v>1.1569762105389612</v>
      </c>
      <c r="D773" s="2">
        <v>7.9578656276874729E-3</v>
      </c>
      <c r="E773" s="2">
        <v>-3.5025262625819177E-3</v>
      </c>
    </row>
    <row r="774" spans="1:5" x14ac:dyDescent="0.35">
      <c r="A774" s="1">
        <v>45310</v>
      </c>
      <c r="B774">
        <v>2026.5</v>
      </c>
      <c r="C774">
        <v>1.1519675341181104</v>
      </c>
      <c r="D774" s="2">
        <v>3.9059773581561485E-3</v>
      </c>
      <c r="E774" s="2">
        <v>-4.3385069807921972E-3</v>
      </c>
    </row>
    <row r="775" spans="1:5" x14ac:dyDescent="0.35">
      <c r="A775" s="1">
        <v>45313</v>
      </c>
      <c r="B775">
        <v>2019.800048828125</v>
      </c>
      <c r="C775">
        <v>1.1514369579395658</v>
      </c>
      <c r="D775" s="2">
        <v>-3.3116463011742948E-3</v>
      </c>
      <c r="E775" s="2">
        <v>-4.6068868039278059E-4</v>
      </c>
    </row>
    <row r="776" spans="1:5" x14ac:dyDescent="0.35">
      <c r="A776" s="1">
        <v>45314</v>
      </c>
      <c r="B776">
        <v>2023.699951171875</v>
      </c>
      <c r="C776">
        <v>1.1505890992464791</v>
      </c>
      <c r="D776" s="2">
        <v>1.9289741822805175E-3</v>
      </c>
      <c r="E776" s="2">
        <v>-7.3661957802598601E-4</v>
      </c>
    </row>
    <row r="777" spans="1:5" x14ac:dyDescent="0.35">
      <c r="A777" s="1">
        <v>45315</v>
      </c>
      <c r="B777">
        <v>2013.9000244140625</v>
      </c>
      <c r="C777">
        <v>1.1499540044883065</v>
      </c>
      <c r="D777" s="2">
        <v>-4.8543422138760161E-3</v>
      </c>
      <c r="E777" s="2">
        <v>-5.5212595084629405E-4</v>
      </c>
    </row>
    <row r="778" spans="1:5" x14ac:dyDescent="0.35">
      <c r="A778" s="1">
        <v>45316</v>
      </c>
      <c r="B778">
        <v>2016.9000244140625</v>
      </c>
      <c r="C778">
        <v>1.1587216944068173</v>
      </c>
      <c r="D778" s="2">
        <v>1.4885385122534204E-3</v>
      </c>
      <c r="E778" s="2">
        <v>7.5954644250160646E-3</v>
      </c>
    </row>
    <row r="779" spans="1:5" x14ac:dyDescent="0.35">
      <c r="A779" s="1">
        <v>45317</v>
      </c>
      <c r="B779">
        <v>2016.800048828125</v>
      </c>
      <c r="C779">
        <v>1.1535355509139091</v>
      </c>
      <c r="D779" s="2">
        <v>-4.9570163444326434E-5</v>
      </c>
      <c r="E779" s="2">
        <v>-4.485791708375095E-3</v>
      </c>
    </row>
    <row r="780" spans="1:5" x14ac:dyDescent="0.35">
      <c r="A780" s="1">
        <v>45320</v>
      </c>
      <c r="B780">
        <v>2025.199951171875</v>
      </c>
      <c r="C780">
        <v>1.1572199295854844</v>
      </c>
      <c r="D780" s="2">
        <v>4.1563159010782613E-3</v>
      </c>
      <c r="E780" s="2">
        <v>3.188898024817362E-3</v>
      </c>
    </row>
    <row r="781" spans="1:5" x14ac:dyDescent="0.35">
      <c r="A781" s="1">
        <v>45321</v>
      </c>
      <c r="B781">
        <v>2031.5</v>
      </c>
      <c r="C781">
        <v>1.1610086590463811</v>
      </c>
      <c r="D781" s="2">
        <v>3.105999442300761E-3</v>
      </c>
      <c r="E781" s="2">
        <v>3.2686447339312667E-3</v>
      </c>
    </row>
    <row r="782" spans="1:5" x14ac:dyDescent="0.35">
      <c r="A782" s="1">
        <v>45322</v>
      </c>
      <c r="B782">
        <v>2048.39990234375</v>
      </c>
      <c r="C782">
        <v>1.1602812828090603</v>
      </c>
      <c r="D782" s="2">
        <v>8.2845164862083032E-3</v>
      </c>
      <c r="E782" s="2">
        <v>-6.2670004984038952E-4</v>
      </c>
    </row>
    <row r="783" spans="1:5" x14ac:dyDescent="0.35">
      <c r="A783" s="1">
        <v>45323</v>
      </c>
      <c r="B783">
        <v>2053</v>
      </c>
      <c r="C783">
        <v>1.1596354463305203</v>
      </c>
      <c r="D783" s="2">
        <v>2.2431851049437793E-3</v>
      </c>
      <c r="E783" s="2">
        <v>-5.5677558346119984E-4</v>
      </c>
    </row>
    <row r="784" spans="1:5" x14ac:dyDescent="0.35">
      <c r="A784" s="1">
        <v>45324</v>
      </c>
      <c r="B784">
        <v>2036.0999755859375</v>
      </c>
      <c r="C784">
        <v>1.1660175824041406</v>
      </c>
      <c r="D784" s="2">
        <v>-8.2659366317122222E-3</v>
      </c>
      <c r="E784" s="2">
        <v>5.4884817431871411E-3</v>
      </c>
    </row>
    <row r="785" spans="1:5" x14ac:dyDescent="0.35">
      <c r="A785" s="1">
        <v>45327</v>
      </c>
      <c r="B785">
        <v>2025.699951171875</v>
      </c>
      <c r="C785">
        <v>1.1534291232532154</v>
      </c>
      <c r="D785" s="2">
        <v>-5.120905671782916E-3</v>
      </c>
      <c r="E785" s="2">
        <v>-1.0854815266954901E-2</v>
      </c>
    </row>
    <row r="786" spans="1:5" x14ac:dyDescent="0.35">
      <c r="A786" s="1">
        <v>45328</v>
      </c>
      <c r="B786">
        <v>2034.5</v>
      </c>
      <c r="C786">
        <v>1.1485012036619582</v>
      </c>
      <c r="D786" s="2">
        <v>4.334792726306237E-3</v>
      </c>
      <c r="E786" s="2">
        <v>-4.2815606204549194E-3</v>
      </c>
    </row>
    <row r="787" spans="1:5" x14ac:dyDescent="0.35">
      <c r="A787" s="1">
        <v>45329</v>
      </c>
      <c r="B787">
        <v>2035.199951171875</v>
      </c>
      <c r="C787">
        <v>1.1500862810669938</v>
      </c>
      <c r="D787" s="2">
        <v>3.4398171225140888E-4</v>
      </c>
      <c r="E787" s="2">
        <v>1.3791753995160663E-3</v>
      </c>
    </row>
    <row r="788" spans="1:5" x14ac:dyDescent="0.35">
      <c r="A788" s="1">
        <v>45330</v>
      </c>
      <c r="B788">
        <v>2032.199951171875</v>
      </c>
      <c r="C788">
        <v>1.1442825791171152</v>
      </c>
      <c r="D788" s="2">
        <v>-1.4751441294395143E-3</v>
      </c>
      <c r="E788" s="2">
        <v>-5.0590944020636386E-3</v>
      </c>
    </row>
    <row r="789" spans="1:5" x14ac:dyDescent="0.35">
      <c r="A789" s="1">
        <v>45331</v>
      </c>
      <c r="B789">
        <v>2023.300048828125</v>
      </c>
      <c r="C789">
        <v>1.1448852498819611</v>
      </c>
      <c r="D789" s="2">
        <v>-4.3890601064939579E-3</v>
      </c>
      <c r="E789" s="2">
        <v>5.2654136681040318E-4</v>
      </c>
    </row>
    <row r="790" spans="1:5" x14ac:dyDescent="0.35">
      <c r="A790" s="1">
        <v>45334</v>
      </c>
      <c r="B790">
        <v>2018.199951171875</v>
      </c>
      <c r="C790">
        <v>1.1439553507912978</v>
      </c>
      <c r="D790" s="2">
        <v>-2.5238650815326029E-3</v>
      </c>
      <c r="E790" s="2">
        <v>-8.1255037292908994E-4</v>
      </c>
    </row>
    <row r="791" spans="1:5" x14ac:dyDescent="0.35">
      <c r="A791" s="1">
        <v>45335</v>
      </c>
      <c r="B791">
        <v>1992.9000244140625</v>
      </c>
      <c r="C791">
        <v>1.1418131817051447</v>
      </c>
      <c r="D791" s="2">
        <v>-1.2615124246704407E-2</v>
      </c>
      <c r="E791" s="2">
        <v>-1.8743540151633846E-3</v>
      </c>
    </row>
    <row r="792" spans="1:5" x14ac:dyDescent="0.35">
      <c r="A792" s="1">
        <v>45336</v>
      </c>
      <c r="B792">
        <v>1990.300048828125</v>
      </c>
      <c r="C792">
        <v>1.1268748569763214</v>
      </c>
      <c r="D792" s="2">
        <v>-1.3054709316034623E-3</v>
      </c>
      <c r="E792" s="2">
        <v>-1.3169321097392465E-2</v>
      </c>
    </row>
    <row r="793" spans="1:5" x14ac:dyDescent="0.35">
      <c r="A793" s="1">
        <v>45337</v>
      </c>
      <c r="B793">
        <v>2002.0999755859375</v>
      </c>
      <c r="C793">
        <v>1.1298158310096882</v>
      </c>
      <c r="D793" s="2">
        <v>5.9112118252041043E-3</v>
      </c>
      <c r="E793" s="2">
        <v>2.6064499791686449E-3</v>
      </c>
    </row>
    <row r="794" spans="1:5" x14ac:dyDescent="0.35">
      <c r="A794" s="1">
        <v>45338</v>
      </c>
      <c r="B794">
        <v>2011.5</v>
      </c>
      <c r="C794">
        <v>1.1366219315684767</v>
      </c>
      <c r="D794" s="2">
        <v>4.6840949064166177E-3</v>
      </c>
      <c r="E794" s="2">
        <v>6.0060074274823757E-3</v>
      </c>
    </row>
    <row r="795" spans="1:5" x14ac:dyDescent="0.35">
      <c r="A795" s="1">
        <v>45342</v>
      </c>
      <c r="B795">
        <v>2027.5</v>
      </c>
      <c r="C795">
        <v>1.1328274196749137</v>
      </c>
      <c r="D795" s="2">
        <v>7.9227945997250287E-3</v>
      </c>
      <c r="E795" s="2">
        <v>-3.3439965755878345E-3</v>
      </c>
    </row>
    <row r="796" spans="1:5" x14ac:dyDescent="0.35">
      <c r="A796" s="1">
        <v>45343</v>
      </c>
      <c r="B796">
        <v>2022.300048828125</v>
      </c>
      <c r="C796">
        <v>1.1340311283041995</v>
      </c>
      <c r="D796" s="2">
        <v>-2.5680053172179879E-3</v>
      </c>
      <c r="E796" s="2">
        <v>1.0620060466438334E-3</v>
      </c>
    </row>
    <row r="797" spans="1:5" x14ac:dyDescent="0.35">
      <c r="A797" s="1">
        <v>45344</v>
      </c>
      <c r="B797">
        <v>2019.699951171875</v>
      </c>
      <c r="C797">
        <v>1.1373329671751777</v>
      </c>
      <c r="D797" s="2">
        <v>-1.2865403339371805E-3</v>
      </c>
      <c r="E797" s="2">
        <v>2.9073640843009819E-3</v>
      </c>
    </row>
    <row r="798" spans="1:5" x14ac:dyDescent="0.35">
      <c r="A798" s="1">
        <v>45345</v>
      </c>
      <c r="B798">
        <v>2038.5999755859375</v>
      </c>
      <c r="C798">
        <v>1.136428223021557</v>
      </c>
      <c r="D798" s="2">
        <v>9.3143244200030086E-3</v>
      </c>
      <c r="E798" s="2">
        <v>-7.9581286308412805E-4</v>
      </c>
    </row>
    <row r="799" spans="1:5" x14ac:dyDescent="0.35">
      <c r="A799" s="1">
        <v>45348</v>
      </c>
      <c r="B799">
        <v>2028.5</v>
      </c>
      <c r="C799">
        <v>1.1347517423494016</v>
      </c>
      <c r="D799" s="2">
        <v>-4.9666821119139582E-3</v>
      </c>
      <c r="E799" s="2">
        <v>-1.476308352667662E-3</v>
      </c>
    </row>
    <row r="800" spans="1:5" x14ac:dyDescent="0.35">
      <c r="A800" s="1">
        <v>45349</v>
      </c>
      <c r="B800">
        <v>2034</v>
      </c>
      <c r="C800">
        <v>1.1364928108627181</v>
      </c>
      <c r="D800" s="2">
        <v>2.7076939620032797E-3</v>
      </c>
      <c r="E800" s="2">
        <v>1.5331408076590641E-3</v>
      </c>
    </row>
    <row r="801" spans="1:5" x14ac:dyDescent="0.35">
      <c r="A801" s="1">
        <v>45350</v>
      </c>
      <c r="B801">
        <v>2033</v>
      </c>
      <c r="C801">
        <v>1.1379153715757595</v>
      </c>
      <c r="D801" s="2">
        <v>-4.9176298015861592E-4</v>
      </c>
      <c r="E801" s="2">
        <v>1.2509284037315932E-3</v>
      </c>
    </row>
    <row r="802" spans="1:5" x14ac:dyDescent="0.35">
      <c r="A802" s="1">
        <v>45351</v>
      </c>
      <c r="B802">
        <v>2045.699951171875</v>
      </c>
      <c r="C802">
        <v>1.1380319240401113</v>
      </c>
      <c r="D802" s="2">
        <v>6.2274706977065233E-3</v>
      </c>
      <c r="E802" s="2">
        <v>1.0242105753356275E-4</v>
      </c>
    </row>
    <row r="803" spans="1:5" x14ac:dyDescent="0.35">
      <c r="A803" s="1">
        <v>45352</v>
      </c>
      <c r="B803">
        <v>2086.89990234375</v>
      </c>
      <c r="C803">
        <v>1.1307100730096233</v>
      </c>
      <c r="D803" s="2">
        <v>1.9939659139843434E-2</v>
      </c>
      <c r="E803" s="2">
        <v>-6.4545695014358246E-3</v>
      </c>
    </row>
    <row r="804" spans="1:5" x14ac:dyDescent="0.35">
      <c r="A804" s="1">
        <v>45355</v>
      </c>
      <c r="B804">
        <v>2117.699951171875</v>
      </c>
      <c r="C804">
        <v>1.1320669263790129</v>
      </c>
      <c r="D804" s="2">
        <v>1.4650906546489963E-2</v>
      </c>
      <c r="E804" s="2">
        <v>1.1992817077278132E-3</v>
      </c>
    </row>
    <row r="805" spans="1:5" x14ac:dyDescent="0.35">
      <c r="A805" s="1">
        <v>45356</v>
      </c>
      <c r="B805">
        <v>2133.5</v>
      </c>
      <c r="C805">
        <v>1.1296881758716741</v>
      </c>
      <c r="D805" s="2">
        <v>7.4332526156680222E-3</v>
      </c>
      <c r="E805" s="2">
        <v>-2.1034561894363868E-3</v>
      </c>
    </row>
    <row r="806" spans="1:5" x14ac:dyDescent="0.35">
      <c r="A806" s="1">
        <v>45357</v>
      </c>
      <c r="B806">
        <v>2150.300048828125</v>
      </c>
      <c r="C806">
        <v>1.1317593960555754</v>
      </c>
      <c r="D806" s="2">
        <v>7.8435663508754604E-3</v>
      </c>
      <c r="E806" s="2">
        <v>1.8317654486039987E-3</v>
      </c>
    </row>
    <row r="807" spans="1:5" x14ac:dyDescent="0.35">
      <c r="A807" s="1">
        <v>45358</v>
      </c>
      <c r="B807">
        <v>2158</v>
      </c>
      <c r="C807">
        <v>1.13365833327815</v>
      </c>
      <c r="D807" s="2">
        <v>3.5744768391498196E-3</v>
      </c>
      <c r="E807" s="2">
        <v>1.6764569666198928E-3</v>
      </c>
    </row>
    <row r="808" spans="1:5" x14ac:dyDescent="0.35">
      <c r="A808" s="1">
        <v>45359</v>
      </c>
      <c r="B808">
        <v>2178.60009765625</v>
      </c>
      <c r="C808">
        <v>1.1401208647111143</v>
      </c>
      <c r="D808" s="2">
        <v>9.5006466554960235E-3</v>
      </c>
      <c r="E808" s="2">
        <v>5.6844119608475989E-3</v>
      </c>
    </row>
    <row r="809" spans="1:5" x14ac:dyDescent="0.35">
      <c r="A809" s="1">
        <v>45362</v>
      </c>
      <c r="B809">
        <v>2182.5</v>
      </c>
      <c r="C809">
        <v>1.1395881383015758</v>
      </c>
      <c r="D809" s="2">
        <v>1.788495240181465E-3</v>
      </c>
      <c r="E809" s="2">
        <v>-4.6736352624946885E-4</v>
      </c>
    </row>
    <row r="810" spans="1:5" x14ac:dyDescent="0.35">
      <c r="A810" s="1">
        <v>45363</v>
      </c>
      <c r="B810">
        <v>2160.39990234375</v>
      </c>
      <c r="C810">
        <v>1.1399258843688258</v>
      </c>
      <c r="D810" s="2">
        <v>-1.0177664197878154E-2</v>
      </c>
      <c r="E810" s="2">
        <v>2.9633164469500088E-4</v>
      </c>
    </row>
    <row r="811" spans="1:5" x14ac:dyDescent="0.35">
      <c r="A811" s="1">
        <v>45364</v>
      </c>
      <c r="B811">
        <v>2175.39990234375</v>
      </c>
      <c r="C811">
        <v>1.1397439783611076</v>
      </c>
      <c r="D811" s="2">
        <v>6.9191662527002852E-3</v>
      </c>
      <c r="E811" s="2">
        <v>-1.5958978190502791E-4</v>
      </c>
    </row>
    <row r="812" spans="1:5" x14ac:dyDescent="0.35">
      <c r="A812" s="1">
        <v>45365</v>
      </c>
      <c r="B812">
        <v>2163</v>
      </c>
      <c r="C812">
        <v>1.1384594359239213</v>
      </c>
      <c r="D812" s="2">
        <v>-5.7163638155206895E-3</v>
      </c>
      <c r="E812" s="2">
        <v>-1.1276803162152361E-3</v>
      </c>
    </row>
    <row r="813" spans="1:5" x14ac:dyDescent="0.35">
      <c r="A813" s="1">
        <v>45366</v>
      </c>
      <c r="B813">
        <v>2157.300048828125</v>
      </c>
      <c r="C813">
        <v>1.1308763002264353</v>
      </c>
      <c r="D813" s="2">
        <v>-2.6386845425951824E-3</v>
      </c>
      <c r="E813" s="2">
        <v>-6.6831573675690502E-3</v>
      </c>
    </row>
    <row r="814" spans="1:5" x14ac:dyDescent="0.35">
      <c r="A814" s="1">
        <v>45369</v>
      </c>
      <c r="B814">
        <v>2160.699951171875</v>
      </c>
      <c r="C814">
        <v>1.131746646357505</v>
      </c>
      <c r="D814" s="2">
        <v>1.5747582428707817E-3</v>
      </c>
      <c r="E814" s="2">
        <v>7.6932497773065549E-4</v>
      </c>
    </row>
    <row r="815" spans="1:5" x14ac:dyDescent="0.35">
      <c r="A815" s="1">
        <v>45370</v>
      </c>
      <c r="B815">
        <v>2156.300048828125</v>
      </c>
      <c r="C815">
        <v>1.1267478655229599</v>
      </c>
      <c r="D815" s="2">
        <v>-2.0384080923120792E-3</v>
      </c>
      <c r="E815" s="2">
        <v>-4.4266558727126468E-3</v>
      </c>
    </row>
    <row r="816" spans="1:5" x14ac:dyDescent="0.35">
      <c r="A816" s="1">
        <v>45371</v>
      </c>
      <c r="B816">
        <v>2157.89990234375</v>
      </c>
      <c r="C816">
        <v>1.125441698483447</v>
      </c>
      <c r="D816" s="2">
        <v>7.4166872517189531E-4</v>
      </c>
      <c r="E816" s="2">
        <v>-1.1599087455420284E-3</v>
      </c>
    </row>
    <row r="817" spans="1:5" x14ac:dyDescent="0.35">
      <c r="A817" s="1">
        <v>45372</v>
      </c>
      <c r="B817">
        <v>2182.39990234375</v>
      </c>
      <c r="C817">
        <v>1.1292416859751024</v>
      </c>
      <c r="D817" s="2">
        <v>1.128966261576579E-2</v>
      </c>
      <c r="E817" s="2">
        <v>3.3707536195959316E-3</v>
      </c>
    </row>
    <row r="818" spans="1:5" x14ac:dyDescent="0.35">
      <c r="A818" s="1">
        <v>45373</v>
      </c>
      <c r="B818">
        <v>2158.10009765625</v>
      </c>
      <c r="C818">
        <v>1.1139827301368588</v>
      </c>
      <c r="D818" s="2">
        <v>-1.1196893703511956E-2</v>
      </c>
      <c r="E818" s="2">
        <v>-1.3604694279966009E-2</v>
      </c>
    </row>
    <row r="819" spans="1:5" x14ac:dyDescent="0.35">
      <c r="A819" s="1">
        <v>45376</v>
      </c>
      <c r="B819">
        <v>2174.800048828125</v>
      </c>
      <c r="C819">
        <v>1.1140571457409294</v>
      </c>
      <c r="D819" s="2">
        <v>7.7084785250944804E-3</v>
      </c>
      <c r="E819" s="2">
        <v>6.6799167199783717E-5</v>
      </c>
    </row>
    <row r="820" spans="1:5" x14ac:dyDescent="0.35">
      <c r="A820" s="1">
        <v>45377</v>
      </c>
      <c r="B820">
        <v>2175.60009765625</v>
      </c>
      <c r="C820">
        <v>1.1117658526810263</v>
      </c>
      <c r="D820" s="2">
        <v>3.6780471230489362E-4</v>
      </c>
      <c r="E820" s="2">
        <v>-2.0588284610983435E-3</v>
      </c>
    </row>
    <row r="821" spans="1:5" x14ac:dyDescent="0.35">
      <c r="A821" s="1">
        <v>45378</v>
      </c>
      <c r="B821">
        <v>2190.60009765625</v>
      </c>
      <c r="C821">
        <v>1.1066231568913134</v>
      </c>
      <c r="D821" s="2">
        <v>6.8709900334791461E-3</v>
      </c>
      <c r="E821" s="2">
        <v>-4.6364320955582777E-3</v>
      </c>
    </row>
    <row r="822" spans="1:5" x14ac:dyDescent="0.35">
      <c r="A822" s="1">
        <v>45379</v>
      </c>
      <c r="B822">
        <v>2217.39990234375</v>
      </c>
      <c r="C822">
        <v>1.1043622372088464</v>
      </c>
      <c r="D822" s="2">
        <v>1.2159770828042574E-2</v>
      </c>
      <c r="E822" s="2">
        <v>-2.0451699740452302E-3</v>
      </c>
    </row>
    <row r="823" spans="1:5" x14ac:dyDescent="0.35">
      <c r="A823" s="1">
        <v>45383</v>
      </c>
      <c r="B823">
        <v>2236.5</v>
      </c>
      <c r="C823">
        <v>1.1086474378031816</v>
      </c>
      <c r="D823" s="2">
        <v>8.5768495755336929E-3</v>
      </c>
      <c r="E823" s="2">
        <v>3.8727403667037411E-3</v>
      </c>
    </row>
    <row r="824" spans="1:5" x14ac:dyDescent="0.35">
      <c r="A824" s="1">
        <v>45384</v>
      </c>
      <c r="B824">
        <v>2261</v>
      </c>
      <c r="C824">
        <v>1.104886906465155</v>
      </c>
      <c r="D824" s="2">
        <v>1.0895049405066982E-2</v>
      </c>
      <c r="E824" s="2">
        <v>-3.397765176445397E-3</v>
      </c>
    </row>
    <row r="825" spans="1:5" x14ac:dyDescent="0.35">
      <c r="A825" s="1">
        <v>45385</v>
      </c>
      <c r="B825">
        <v>2294.39990234375</v>
      </c>
      <c r="C825">
        <v>1.1015399694248955</v>
      </c>
      <c r="D825" s="2">
        <v>1.4664135564459967E-2</v>
      </c>
      <c r="E825" s="2">
        <v>-3.0338096801961283E-3</v>
      </c>
    </row>
    <row r="826" spans="1:5" x14ac:dyDescent="0.35">
      <c r="A826" s="1">
        <v>45386</v>
      </c>
      <c r="B826">
        <v>2288.800048828125</v>
      </c>
      <c r="C826">
        <v>1.1075545975400947</v>
      </c>
      <c r="D826" s="2">
        <v>-2.4436447730251439E-3</v>
      </c>
      <c r="E826" s="2">
        <v>5.4453467653055492E-3</v>
      </c>
    </row>
    <row r="827" spans="1:5" x14ac:dyDescent="0.35">
      <c r="A827" s="1">
        <v>45387</v>
      </c>
      <c r="B827">
        <v>2325.699951171875</v>
      </c>
      <c r="C827">
        <v>1.1092500357690018</v>
      </c>
      <c r="D827" s="2">
        <v>1.5993363911782323E-2</v>
      </c>
      <c r="E827" s="2">
        <v>1.5296237963480265E-3</v>
      </c>
    </row>
    <row r="828" spans="1:5" x14ac:dyDescent="0.35">
      <c r="A828" s="1">
        <v>45390</v>
      </c>
      <c r="B828">
        <v>2331.699951171875</v>
      </c>
      <c r="C828">
        <v>1.1072112797487019</v>
      </c>
      <c r="D828" s="2">
        <v>2.5765463327621051E-3</v>
      </c>
      <c r="E828" s="2">
        <v>-1.8396500593162613E-3</v>
      </c>
    </row>
    <row r="829" spans="1:5" x14ac:dyDescent="0.35">
      <c r="A829" s="1">
        <v>45391</v>
      </c>
      <c r="B829">
        <v>2343.5</v>
      </c>
      <c r="C829">
        <v>1.1049601845365786</v>
      </c>
      <c r="D829" s="2">
        <v>5.0479440488116548E-3</v>
      </c>
      <c r="E829" s="2">
        <v>-2.0351912367283435E-3</v>
      </c>
    </row>
    <row r="830" spans="1:5" x14ac:dyDescent="0.35">
      <c r="A830" s="1">
        <v>45392</v>
      </c>
      <c r="B830">
        <v>2329.60009765625</v>
      </c>
      <c r="C830">
        <v>1.107444203900976</v>
      </c>
      <c r="D830" s="2">
        <v>-5.9489174406446368E-3</v>
      </c>
      <c r="E830" s="2">
        <v>2.2455392162244168E-3</v>
      </c>
    </row>
    <row r="831" spans="1:5" x14ac:dyDescent="0.35">
      <c r="A831" s="1">
        <v>45393</v>
      </c>
      <c r="B831">
        <v>2354.800048828125</v>
      </c>
      <c r="C831">
        <v>1.0952422887990805</v>
      </c>
      <c r="D831" s="2">
        <v>1.0759197967561912E-2</v>
      </c>
      <c r="E831" s="2">
        <v>-1.1079234341270351E-2</v>
      </c>
    </row>
    <row r="832" spans="1:5" x14ac:dyDescent="0.35">
      <c r="A832" s="1">
        <v>45394</v>
      </c>
      <c r="B832">
        <v>2356.199951171875</v>
      </c>
      <c r="C832">
        <v>1.0991064576733833</v>
      </c>
      <c r="D832" s="2">
        <v>5.9431219908922866E-4</v>
      </c>
      <c r="E832" s="2">
        <v>3.5219313928806467E-3</v>
      </c>
    </row>
    <row r="833" spans="1:5" x14ac:dyDescent="0.35">
      <c r="A833" s="1">
        <v>45397</v>
      </c>
      <c r="B833">
        <v>2365.800048828125</v>
      </c>
      <c r="C833">
        <v>1.0943672675879097</v>
      </c>
      <c r="D833" s="2">
        <v>4.06612066202905E-3</v>
      </c>
      <c r="E833" s="2">
        <v>-4.3211800581949775E-3</v>
      </c>
    </row>
    <row r="834" spans="1:5" x14ac:dyDescent="0.35">
      <c r="A834" s="1">
        <v>45398</v>
      </c>
      <c r="B834">
        <v>2390.800048828125</v>
      </c>
      <c r="C834">
        <v>1.0969723638707973</v>
      </c>
      <c r="D834" s="2">
        <v>1.0511806622644015E-2</v>
      </c>
      <c r="E834" s="2">
        <v>2.3776300786362446E-3</v>
      </c>
    </row>
    <row r="835" spans="1:5" x14ac:dyDescent="0.35">
      <c r="A835" s="1">
        <v>45399</v>
      </c>
      <c r="B835">
        <v>2371.699951171875</v>
      </c>
      <c r="C835">
        <v>1.0958183738230733</v>
      </c>
      <c r="D835" s="2">
        <v>-8.0210813904086596E-3</v>
      </c>
      <c r="E835" s="2">
        <v>-1.0525310367483331E-3</v>
      </c>
    </row>
    <row r="836" spans="1:5" x14ac:dyDescent="0.35">
      <c r="A836" s="1">
        <v>45400</v>
      </c>
      <c r="B836">
        <v>2382.300048828125</v>
      </c>
      <c r="C836">
        <v>1.0984183097827107</v>
      </c>
      <c r="D836" s="2">
        <v>4.4594510824546314E-3</v>
      </c>
      <c r="E836" s="2">
        <v>2.3697873577715597E-3</v>
      </c>
    </row>
    <row r="837" spans="1:5" x14ac:dyDescent="0.35">
      <c r="A837" s="1">
        <v>45401</v>
      </c>
      <c r="B837">
        <v>2398.39990234375</v>
      </c>
      <c r="C837">
        <v>1.0963709914308768</v>
      </c>
      <c r="D837" s="2">
        <v>6.7353795655969769E-3</v>
      </c>
      <c r="E837" s="2">
        <v>-1.8656177561230654E-3</v>
      </c>
    </row>
    <row r="838" spans="1:5" x14ac:dyDescent="0.35">
      <c r="A838" s="1">
        <v>45404</v>
      </c>
      <c r="B838">
        <v>2332.199951171875</v>
      </c>
      <c r="C838">
        <v>1.0977152937310775</v>
      </c>
      <c r="D838" s="2">
        <v>-2.7989800481359611E-2</v>
      </c>
      <c r="E838" s="2">
        <v>1.2253870574788885E-3</v>
      </c>
    </row>
    <row r="839" spans="1:5" x14ac:dyDescent="0.35">
      <c r="A839" s="1">
        <v>45405</v>
      </c>
      <c r="B839">
        <v>2327.699951171875</v>
      </c>
      <c r="C839">
        <v>1.096623531968645</v>
      </c>
      <c r="D839" s="2">
        <v>-1.9313725586944581E-3</v>
      </c>
      <c r="E839" s="2">
        <v>-9.95071353367514E-4</v>
      </c>
    </row>
    <row r="840" spans="1:5" x14ac:dyDescent="0.35">
      <c r="A840" s="1">
        <v>45406</v>
      </c>
      <c r="B840">
        <v>2324.5</v>
      </c>
      <c r="C840">
        <v>1.0972130545548602</v>
      </c>
      <c r="D840" s="2">
        <v>-1.3756724603899396E-3</v>
      </c>
      <c r="E840" s="2">
        <v>5.3743528941596998E-4</v>
      </c>
    </row>
    <row r="841" spans="1:5" x14ac:dyDescent="0.35">
      <c r="A841" s="1">
        <v>45407</v>
      </c>
      <c r="B841">
        <v>2329.800048828125</v>
      </c>
      <c r="C841">
        <v>1.0935654892721871</v>
      </c>
      <c r="D841" s="2">
        <v>2.2774857931127522E-3</v>
      </c>
      <c r="E841" s="2">
        <v>-3.3299291372289341E-3</v>
      </c>
    </row>
    <row r="842" spans="1:5" x14ac:dyDescent="0.35">
      <c r="A842" s="1">
        <v>45408</v>
      </c>
      <c r="B842">
        <v>2334.800048828125</v>
      </c>
      <c r="C842">
        <v>1.0958664023000031</v>
      </c>
      <c r="D842" s="2">
        <v>2.1438073190774686E-3</v>
      </c>
      <c r="E842" s="2">
        <v>2.1018364478366208E-3</v>
      </c>
    </row>
    <row r="843" spans="1:5" x14ac:dyDescent="0.35">
      <c r="A843" s="1">
        <v>45411</v>
      </c>
      <c r="B843">
        <v>2345.39990234375</v>
      </c>
      <c r="C843">
        <v>1.0944655020134526</v>
      </c>
      <c r="D843" s="2">
        <v>4.5296661467797766E-3</v>
      </c>
      <c r="E843" s="2">
        <v>-1.2791673031950098E-3</v>
      </c>
    </row>
    <row r="844" spans="1:5" x14ac:dyDescent="0.35">
      <c r="A844" s="1">
        <v>45412</v>
      </c>
      <c r="B844">
        <v>2291.39990234375</v>
      </c>
      <c r="C844">
        <v>1.0980323372479424</v>
      </c>
      <c r="D844" s="2">
        <v>-2.3292979548680329E-2</v>
      </c>
      <c r="E844" s="2">
        <v>3.2536756180835112E-3</v>
      </c>
    </row>
    <row r="845" spans="1:5" x14ac:dyDescent="0.35">
      <c r="A845" s="1">
        <v>45413</v>
      </c>
      <c r="B845">
        <v>2299.89990234375</v>
      </c>
      <c r="C845">
        <v>1.0875594318912114</v>
      </c>
      <c r="D845" s="2">
        <v>3.7026594091494527E-3</v>
      </c>
      <c r="E845" s="2">
        <v>-9.583661196798713E-3</v>
      </c>
    </row>
    <row r="846" spans="1:5" x14ac:dyDescent="0.35">
      <c r="A846" s="1">
        <v>45414</v>
      </c>
      <c r="B846">
        <v>2299.199951171875</v>
      </c>
      <c r="C846">
        <v>1.0912741471461178</v>
      </c>
      <c r="D846" s="2">
        <v>-3.0438616232441028E-4</v>
      </c>
      <c r="E846" s="2">
        <v>3.4098233934546245E-3</v>
      </c>
    </row>
    <row r="847" spans="1:5" x14ac:dyDescent="0.35">
      <c r="A847" s="1">
        <v>45415</v>
      </c>
      <c r="B847">
        <v>2299</v>
      </c>
      <c r="C847">
        <v>1.0991788989719726</v>
      </c>
      <c r="D847" s="2">
        <v>-8.6969324572335372E-5</v>
      </c>
      <c r="E847" s="2">
        <v>7.2174896918837462E-3</v>
      </c>
    </row>
    <row r="848" spans="1:5" x14ac:dyDescent="0.35">
      <c r="A848" s="1">
        <v>45418</v>
      </c>
      <c r="B848">
        <v>2321.60009765625</v>
      </c>
      <c r="C848">
        <v>1.1038258650104864</v>
      </c>
      <c r="D848" s="2">
        <v>9.7823994309423207E-3</v>
      </c>
      <c r="E848" s="2">
        <v>4.2187588576140037E-3</v>
      </c>
    </row>
    <row r="849" spans="1:5" x14ac:dyDescent="0.35">
      <c r="A849" s="1">
        <v>45419</v>
      </c>
      <c r="B849">
        <v>2315.199951171875</v>
      </c>
      <c r="C849">
        <v>1.1029006103247312</v>
      </c>
      <c r="D849" s="2">
        <v>-2.760589407145369E-3</v>
      </c>
      <c r="E849" s="2">
        <v>-8.3857673374349343E-4</v>
      </c>
    </row>
    <row r="850" spans="1:5" x14ac:dyDescent="0.35">
      <c r="A850" s="1">
        <v>45420</v>
      </c>
      <c r="B850">
        <v>2313.60009765625</v>
      </c>
      <c r="C850">
        <v>1.1007397109193062</v>
      </c>
      <c r="D850" s="2">
        <v>-6.912606128823438E-4</v>
      </c>
      <c r="E850" s="2">
        <v>-1.9612094380583836E-3</v>
      </c>
    </row>
    <row r="851" spans="1:5" x14ac:dyDescent="0.35">
      <c r="A851" s="1">
        <v>45421</v>
      </c>
      <c r="B851">
        <v>2332.10009765625</v>
      </c>
      <c r="C851">
        <v>1.1013337408550499</v>
      </c>
      <c r="D851" s="2">
        <v>7.9643958983619933E-3</v>
      </c>
      <c r="E851" s="2">
        <v>5.395187428233315E-4</v>
      </c>
    </row>
    <row r="852" spans="1:5" x14ac:dyDescent="0.35">
      <c r="A852" s="1">
        <v>45422</v>
      </c>
      <c r="B852">
        <v>2367.300048828125</v>
      </c>
      <c r="C852">
        <v>1.1039355384167846</v>
      </c>
      <c r="D852" s="2">
        <v>1.498089474872309E-2</v>
      </c>
      <c r="E852" s="2">
        <v>2.3596200186363735E-3</v>
      </c>
    </row>
    <row r="853" spans="1:5" x14ac:dyDescent="0.35">
      <c r="A853" s="1">
        <v>45425</v>
      </c>
      <c r="B853">
        <v>2336.10009765625</v>
      </c>
      <c r="C853">
        <v>1.1032048421237994</v>
      </c>
      <c r="D853" s="2">
        <v>-1.3267171767020015E-2</v>
      </c>
      <c r="E853" s="2">
        <v>-6.6212038538408075E-4</v>
      </c>
    </row>
    <row r="854" spans="1:5" x14ac:dyDescent="0.35">
      <c r="A854" s="1">
        <v>45426</v>
      </c>
      <c r="B854">
        <v>2353.39990234375</v>
      </c>
      <c r="C854">
        <v>1.1014429195733151</v>
      </c>
      <c r="D854" s="2">
        <v>7.3781354798519282E-3</v>
      </c>
      <c r="E854" s="2">
        <v>-1.5983713645394372E-3</v>
      </c>
    </row>
    <row r="855" spans="1:5" x14ac:dyDescent="0.35">
      <c r="A855" s="1">
        <v>45427</v>
      </c>
      <c r="B855">
        <v>2388.699951171875</v>
      </c>
      <c r="C855">
        <v>1.1029006103247312</v>
      </c>
      <c r="D855" s="2">
        <v>1.4888214910604233E-2</v>
      </c>
      <c r="E855" s="2">
        <v>1.322562426522265E-3</v>
      </c>
    </row>
    <row r="856" spans="1:5" x14ac:dyDescent="0.35">
      <c r="A856" s="1">
        <v>45428</v>
      </c>
      <c r="B856">
        <v>2380</v>
      </c>
      <c r="C856">
        <v>1.1104571990681202</v>
      </c>
      <c r="D856" s="2">
        <v>-3.6487767790969396E-3</v>
      </c>
      <c r="E856" s="2">
        <v>6.8281938612094898E-3</v>
      </c>
    </row>
    <row r="857" spans="1:5" x14ac:dyDescent="0.35">
      <c r="A857" s="1">
        <v>45429</v>
      </c>
      <c r="B857">
        <v>2412.199951171875</v>
      </c>
      <c r="C857">
        <v>1.1037649366874585</v>
      </c>
      <c r="D857" s="2">
        <v>1.3438686241467436E-2</v>
      </c>
      <c r="E857" s="2">
        <v>-6.0448160556337144E-3</v>
      </c>
    </row>
    <row r="858" spans="1:5" x14ac:dyDescent="0.35">
      <c r="A858" s="1">
        <v>45432</v>
      </c>
      <c r="B858">
        <v>2433.89990234375</v>
      </c>
      <c r="C858">
        <v>1.1004732164128117</v>
      </c>
      <c r="D858" s="2">
        <v>8.9556950387785911E-3</v>
      </c>
      <c r="E858" s="2">
        <v>-2.986721481978255E-3</v>
      </c>
    </row>
    <row r="859" spans="1:5" x14ac:dyDescent="0.35">
      <c r="A859" s="1">
        <v>45433</v>
      </c>
      <c r="B859">
        <v>2421.699951171875</v>
      </c>
      <c r="C859">
        <v>1.0987561954460197</v>
      </c>
      <c r="D859" s="2">
        <v>-5.0251162420579488E-3</v>
      </c>
      <c r="E859" s="2">
        <v>-1.5614754026152991E-3</v>
      </c>
    </row>
    <row r="860" spans="1:5" x14ac:dyDescent="0.35">
      <c r="A860" s="1">
        <v>45434</v>
      </c>
      <c r="B860">
        <v>2389.199951171875</v>
      </c>
      <c r="C860">
        <v>1.0975020946274441</v>
      </c>
      <c r="D860" s="2">
        <v>-1.351119128257647E-2</v>
      </c>
      <c r="E860" s="2">
        <v>-1.1420341228060322E-3</v>
      </c>
    </row>
    <row r="861" spans="1:5" x14ac:dyDescent="0.35">
      <c r="A861" s="1">
        <v>45435</v>
      </c>
      <c r="B861">
        <v>2335</v>
      </c>
      <c r="C861">
        <v>1.0928961492338718</v>
      </c>
      <c r="D861" s="2">
        <v>-2.2946670318134389E-2</v>
      </c>
      <c r="E861" s="2">
        <v>-4.2055842541281361E-3</v>
      </c>
    </row>
    <row r="862" spans="1:5" x14ac:dyDescent="0.35">
      <c r="A862" s="1">
        <v>45436</v>
      </c>
      <c r="B862">
        <v>2332.5</v>
      </c>
      <c r="C862">
        <v>1.0936970172971006</v>
      </c>
      <c r="D862" s="2">
        <v>-1.0712373814988035E-3</v>
      </c>
      <c r="E862" s="2">
        <v>7.3252593239468266E-4</v>
      </c>
    </row>
    <row r="863" spans="1:5" x14ac:dyDescent="0.35">
      <c r="A863" s="1">
        <v>45440</v>
      </c>
      <c r="B863">
        <v>2355.199951171875</v>
      </c>
      <c r="C863">
        <v>1.0950503473869839</v>
      </c>
      <c r="D863" s="2">
        <v>9.6849750810076001E-3</v>
      </c>
      <c r="E863" s="2">
        <v>1.2366253722872536E-3</v>
      </c>
    </row>
    <row r="864" spans="1:5" x14ac:dyDescent="0.35">
      <c r="A864" s="1">
        <v>45441</v>
      </c>
      <c r="B864">
        <v>2340.300048828125</v>
      </c>
      <c r="C864">
        <v>1.096142701477085</v>
      </c>
      <c r="D864" s="2">
        <v>-6.3464816760843545E-3</v>
      </c>
      <c r="E864" s="2">
        <v>9.9704056761119571E-4</v>
      </c>
    </row>
    <row r="865" spans="1:5" x14ac:dyDescent="0.35">
      <c r="A865" s="1">
        <v>45442</v>
      </c>
      <c r="B865">
        <v>2342.89990234375</v>
      </c>
      <c r="C865">
        <v>1.0955302198091019</v>
      </c>
      <c r="D865" s="2">
        <v>1.110289464388048E-3</v>
      </c>
      <c r="E865" s="2">
        <v>-5.5891705188202149E-4</v>
      </c>
    </row>
    <row r="866" spans="1:5" x14ac:dyDescent="0.35">
      <c r="A866" s="1">
        <v>45443</v>
      </c>
      <c r="B866">
        <v>2322.89990234375</v>
      </c>
      <c r="C866">
        <v>1.1070396641325679</v>
      </c>
      <c r="D866" s="2">
        <v>-8.5730735706837907E-3</v>
      </c>
      <c r="E866" s="2">
        <v>1.0451018299980229E-2</v>
      </c>
    </row>
    <row r="867" spans="1:5" x14ac:dyDescent="0.35">
      <c r="A867" s="1">
        <v>45446</v>
      </c>
      <c r="B867">
        <v>2346.60009765625</v>
      </c>
      <c r="C867">
        <v>1.1094838919588088</v>
      </c>
      <c r="D867" s="2">
        <v>1.0151150585457774E-2</v>
      </c>
      <c r="E867" s="2">
        <v>2.2054616205300589E-3</v>
      </c>
    </row>
    <row r="868" spans="1:5" x14ac:dyDescent="0.35">
      <c r="A868" s="1">
        <v>45447</v>
      </c>
      <c r="B868">
        <v>2325.5</v>
      </c>
      <c r="C868">
        <v>1.1172934582068235</v>
      </c>
      <c r="D868" s="2">
        <v>-9.0324439414323776E-3</v>
      </c>
      <c r="E868" s="2">
        <v>7.0142605559843476E-3</v>
      </c>
    </row>
    <row r="869" spans="1:5" x14ac:dyDescent="0.35">
      <c r="A869" s="1">
        <v>45448</v>
      </c>
      <c r="B869">
        <v>2354.10009765625</v>
      </c>
      <c r="C869">
        <v>1.1236586610450299</v>
      </c>
      <c r="D869" s="2">
        <v>1.2223460620860391E-2</v>
      </c>
      <c r="E869" s="2">
        <v>5.6808174538850757E-3</v>
      </c>
    </row>
    <row r="870" spans="1:5" x14ac:dyDescent="0.35">
      <c r="A870" s="1">
        <v>45449</v>
      </c>
      <c r="B870">
        <v>2370.300048828125</v>
      </c>
      <c r="C870">
        <v>1.1204482002235259</v>
      </c>
      <c r="D870" s="2">
        <v>6.8580197117618603E-3</v>
      </c>
      <c r="E870" s="2">
        <v>-2.8612389785595562E-3</v>
      </c>
    </row>
    <row r="871" spans="1:5" x14ac:dyDescent="0.35">
      <c r="A871" s="1">
        <v>45450</v>
      </c>
      <c r="B871">
        <v>2305.199951171875</v>
      </c>
      <c r="C871">
        <v>1.1239490789356887</v>
      </c>
      <c r="D871" s="2">
        <v>-2.7849130615993235E-2</v>
      </c>
      <c r="E871" s="2">
        <v>3.119662979428704E-3</v>
      </c>
    </row>
    <row r="872" spans="1:5" x14ac:dyDescent="0.35">
      <c r="A872" s="1">
        <v>45453</v>
      </c>
      <c r="B872">
        <v>2307.699951171875</v>
      </c>
      <c r="C872">
        <v>1.1159469000495741</v>
      </c>
      <c r="D872" s="2">
        <v>1.0839169709689002E-3</v>
      </c>
      <c r="E872" s="2">
        <v>-7.1451647808818452E-3</v>
      </c>
    </row>
    <row r="873" spans="1:5" x14ac:dyDescent="0.35">
      <c r="A873" s="1">
        <v>45454</v>
      </c>
      <c r="B873">
        <v>2307.5</v>
      </c>
      <c r="C873">
        <v>1.1153494628016432</v>
      </c>
      <c r="D873" s="2">
        <v>-8.6648974742449842E-5</v>
      </c>
      <c r="E873" s="2">
        <v>-5.3550686690910412E-4</v>
      </c>
    </row>
    <row r="874" spans="1:5" x14ac:dyDescent="0.35">
      <c r="A874" s="1">
        <v>45455</v>
      </c>
      <c r="B874">
        <v>2336</v>
      </c>
      <c r="C874">
        <v>1.1138586276192886</v>
      </c>
      <c r="D874" s="2">
        <v>1.2275377571110555E-2</v>
      </c>
      <c r="E874" s="2">
        <v>-1.3375470966784395E-3</v>
      </c>
    </row>
    <row r="875" spans="1:5" x14ac:dyDescent="0.35">
      <c r="A875" s="1">
        <v>45456</v>
      </c>
      <c r="B875">
        <v>2300.199951171875</v>
      </c>
      <c r="C875">
        <v>1.1182430300003472</v>
      </c>
      <c r="D875" s="2">
        <v>-1.5444010517410593E-2</v>
      </c>
      <c r="E875" s="2">
        <v>3.9285020956318197E-3</v>
      </c>
    </row>
    <row r="876" spans="1:5" x14ac:dyDescent="0.35">
      <c r="A876" s="1">
        <v>45457</v>
      </c>
      <c r="B876">
        <v>2331.39990234375</v>
      </c>
      <c r="C876">
        <v>1.1186558007027365</v>
      </c>
      <c r="D876" s="2">
        <v>1.3472849167638714E-2</v>
      </c>
      <c r="E876" s="2">
        <v>3.6905621426299329E-4</v>
      </c>
    </row>
    <row r="877" spans="1:5" x14ac:dyDescent="0.35">
      <c r="A877" s="1">
        <v>45460</v>
      </c>
      <c r="B877">
        <v>2312.39990234375</v>
      </c>
      <c r="C877">
        <v>1.1226746306369726</v>
      </c>
      <c r="D877" s="2">
        <v>-8.1829996215816558E-3</v>
      </c>
      <c r="E877" s="2">
        <v>3.586114911894412E-3</v>
      </c>
    </row>
    <row r="878" spans="1:5" x14ac:dyDescent="0.35">
      <c r="A878" s="1">
        <v>45461</v>
      </c>
      <c r="B878">
        <v>2330.39990234375</v>
      </c>
      <c r="C878">
        <v>1.125745804542259</v>
      </c>
      <c r="D878" s="2">
        <v>7.7539807631003049E-3</v>
      </c>
      <c r="E878" s="2">
        <v>2.731851896782381E-3</v>
      </c>
    </row>
    <row r="879" spans="1:5" x14ac:dyDescent="0.35">
      <c r="A879" s="1">
        <v>45463</v>
      </c>
      <c r="B879">
        <v>2353.800048828125</v>
      </c>
      <c r="C879">
        <v>1.1308379592145965</v>
      </c>
      <c r="D879" s="2">
        <v>9.9911794480786777E-3</v>
      </c>
      <c r="E879" s="2">
        <v>4.5131613525448006E-3</v>
      </c>
    </row>
    <row r="880" spans="1:5" x14ac:dyDescent="0.35">
      <c r="A880" s="1">
        <v>45464</v>
      </c>
      <c r="B880">
        <v>2316.39990234375</v>
      </c>
      <c r="C880">
        <v>1.1217175958365202</v>
      </c>
      <c r="D880" s="2">
        <v>-1.6016849994939065E-2</v>
      </c>
      <c r="E880" s="2">
        <v>-8.0978364298467179E-3</v>
      </c>
    </row>
    <row r="881" spans="1:5" x14ac:dyDescent="0.35">
      <c r="A881" s="1">
        <v>45467</v>
      </c>
      <c r="B881">
        <v>2330</v>
      </c>
      <c r="C881">
        <v>1.1184431141636595</v>
      </c>
      <c r="D881" s="2">
        <v>5.8540533667421589E-3</v>
      </c>
      <c r="E881" s="2">
        <v>-2.923436689476016E-3</v>
      </c>
    </row>
    <row r="882" spans="1:5" x14ac:dyDescent="0.35">
      <c r="A882" s="1">
        <v>45468</v>
      </c>
      <c r="B882">
        <v>2316.60009765625</v>
      </c>
      <c r="C882">
        <v>1.1195825866542561</v>
      </c>
      <c r="D882" s="2">
        <v>-5.7676319065113404E-3</v>
      </c>
      <c r="E882" s="2">
        <v>1.0182837387795686E-3</v>
      </c>
    </row>
    <row r="883" spans="1:5" x14ac:dyDescent="0.35">
      <c r="A883" s="1">
        <v>45469</v>
      </c>
      <c r="B883">
        <v>2299.199951171875</v>
      </c>
      <c r="C883">
        <v>1.1170687938262587</v>
      </c>
      <c r="D883" s="2">
        <v>-7.5394205654809275E-3</v>
      </c>
      <c r="E883" s="2">
        <v>-2.2478191356838624E-3</v>
      </c>
    </row>
    <row r="884" spans="1:5" x14ac:dyDescent="0.35">
      <c r="A884" s="1">
        <v>45470</v>
      </c>
      <c r="B884">
        <v>2324.5</v>
      </c>
      <c r="C884">
        <v>1.1152001478317457</v>
      </c>
      <c r="D884" s="2">
        <v>1.0943747042885628E-2</v>
      </c>
      <c r="E884" s="2">
        <v>-1.6742126328270638E-3</v>
      </c>
    </row>
    <row r="885" spans="1:5" x14ac:dyDescent="0.35">
      <c r="A885" s="1">
        <v>45471</v>
      </c>
      <c r="B885">
        <v>2327.699951171875</v>
      </c>
      <c r="C885">
        <v>1.1129412901010596</v>
      </c>
      <c r="D885" s="2">
        <v>1.3756724603899051E-3</v>
      </c>
      <c r="E885" s="2">
        <v>-2.0275719180895546E-3</v>
      </c>
    </row>
    <row r="886" spans="1:5" x14ac:dyDescent="0.35">
      <c r="A886" s="1">
        <v>45474</v>
      </c>
      <c r="B886">
        <v>2327.60009765625</v>
      </c>
      <c r="C886">
        <v>1.1108642408552027</v>
      </c>
      <c r="D886" s="2">
        <v>-4.2898852745440194E-5</v>
      </c>
      <c r="E886" s="2">
        <v>-1.8680139256134027E-3</v>
      </c>
    </row>
    <row r="887" spans="1:5" x14ac:dyDescent="0.35">
      <c r="A887" s="1">
        <v>45475</v>
      </c>
      <c r="B887">
        <v>2323</v>
      </c>
      <c r="C887">
        <v>1.1072235557013326</v>
      </c>
      <c r="D887" s="2">
        <v>-1.9782819678747557E-3</v>
      </c>
      <c r="E887" s="2">
        <v>-3.2827270669329818E-3</v>
      </c>
    </row>
    <row r="888" spans="1:5" x14ac:dyDescent="0.35">
      <c r="A888" s="1">
        <v>45476</v>
      </c>
      <c r="B888">
        <v>2359.800048828125</v>
      </c>
      <c r="C888">
        <v>1.106574180936565</v>
      </c>
      <c r="D888" s="2">
        <v>1.571743658704651E-2</v>
      </c>
      <c r="E888" s="2">
        <v>-5.8666134908819947E-4</v>
      </c>
    </row>
    <row r="889" spans="1:5" x14ac:dyDescent="0.35">
      <c r="A889" s="1">
        <v>45478</v>
      </c>
      <c r="B889">
        <v>2388.5</v>
      </c>
      <c r="C889">
        <v>1.1108025330765219</v>
      </c>
      <c r="D889" s="2">
        <v>1.2088663472560882E-2</v>
      </c>
      <c r="E889" s="2">
        <v>3.81383753015405E-3</v>
      </c>
    </row>
    <row r="890" spans="1:5" x14ac:dyDescent="0.35">
      <c r="A890" s="1">
        <v>45481</v>
      </c>
      <c r="B890">
        <v>2355.199951171875</v>
      </c>
      <c r="C890">
        <v>1.1170313833373715</v>
      </c>
      <c r="D890" s="2">
        <v>-1.403992502750996E-2</v>
      </c>
      <c r="E890" s="2">
        <v>5.5918589314191925E-3</v>
      </c>
    </row>
    <row r="891" spans="1:5" x14ac:dyDescent="0.35">
      <c r="A891" s="1">
        <v>45482</v>
      </c>
      <c r="B891">
        <v>2360.10009765625</v>
      </c>
      <c r="C891">
        <v>1.1138214318339703</v>
      </c>
      <c r="D891" s="2">
        <v>2.0784035788128691E-3</v>
      </c>
      <c r="E891" s="2">
        <v>-2.8777817136773358E-3</v>
      </c>
    </row>
    <row r="892" spans="1:5" x14ac:dyDescent="0.35">
      <c r="A892" s="1">
        <v>45483</v>
      </c>
      <c r="B892">
        <v>2372.199951171875</v>
      </c>
      <c r="C892">
        <v>1.1143302607341161</v>
      </c>
      <c r="D892" s="2">
        <v>5.1137416303785902E-3</v>
      </c>
      <c r="E892" s="2">
        <v>4.5672735001672815E-4</v>
      </c>
    </row>
    <row r="893" spans="1:5" x14ac:dyDescent="0.35">
      <c r="A893" s="1">
        <v>45484</v>
      </c>
      <c r="B893">
        <v>2415</v>
      </c>
      <c r="C893">
        <v>1.1120996166464261</v>
      </c>
      <c r="D893" s="2">
        <v>1.7881513074975274E-2</v>
      </c>
      <c r="E893" s="2">
        <v>-2.0037862918731199E-3</v>
      </c>
    </row>
    <row r="894" spans="1:5" x14ac:dyDescent="0.35">
      <c r="A894" s="1">
        <v>45485</v>
      </c>
      <c r="B894">
        <v>2414</v>
      </c>
      <c r="C894">
        <v>1.1160340504077426</v>
      </c>
      <c r="D894" s="2">
        <v>-4.1416442919625911E-4</v>
      </c>
      <c r="E894" s="2">
        <v>3.5315994805370783E-3</v>
      </c>
    </row>
    <row r="895" spans="1:5" x14ac:dyDescent="0.35">
      <c r="A895" s="1">
        <v>45488</v>
      </c>
      <c r="B895">
        <v>2422.89990234375</v>
      </c>
      <c r="C895">
        <v>1.1149639500516937</v>
      </c>
      <c r="D895" s="2">
        <v>3.6800068503831792E-3</v>
      </c>
      <c r="E895" s="2">
        <v>-9.5930201451801742E-4</v>
      </c>
    </row>
    <row r="896" spans="1:5" x14ac:dyDescent="0.35">
      <c r="A896" s="1">
        <v>45489</v>
      </c>
      <c r="B896">
        <v>2462.39990234375</v>
      </c>
      <c r="C896">
        <v>1.1167319666117617</v>
      </c>
      <c r="D896" s="2">
        <v>1.6171314917783012E-2</v>
      </c>
      <c r="E896" s="2">
        <v>1.584460424695458E-3</v>
      </c>
    </row>
    <row r="897" spans="1:5" x14ac:dyDescent="0.35">
      <c r="A897" s="1">
        <v>45490</v>
      </c>
      <c r="B897">
        <v>2454.800048828125</v>
      </c>
      <c r="C897">
        <v>1.1195450076055611</v>
      </c>
      <c r="D897" s="2">
        <v>-3.0911330198242801E-3</v>
      </c>
      <c r="E897" s="2">
        <v>2.5158265366644274E-3</v>
      </c>
    </row>
    <row r="898" spans="1:5" x14ac:dyDescent="0.35">
      <c r="A898" s="1">
        <v>45491</v>
      </c>
      <c r="B898">
        <v>2451.800048828125</v>
      </c>
      <c r="C898">
        <v>1.1333370757226544</v>
      </c>
      <c r="D898" s="2">
        <v>-1.2228428297097356E-3</v>
      </c>
      <c r="E898" s="2">
        <v>1.2244085498223039E-2</v>
      </c>
    </row>
    <row r="899" spans="1:5" x14ac:dyDescent="0.35">
      <c r="A899" s="1">
        <v>45492</v>
      </c>
      <c r="B899">
        <v>2395.5</v>
      </c>
      <c r="C899">
        <v>1.1270145200754729</v>
      </c>
      <c r="D899" s="2">
        <v>-2.3230491252932139E-2</v>
      </c>
      <c r="E899" s="2">
        <v>-5.5943262529666417E-3</v>
      </c>
    </row>
    <row r="900" spans="1:5" x14ac:dyDescent="0.35">
      <c r="A900" s="1">
        <v>45495</v>
      </c>
      <c r="B900">
        <v>2392</v>
      </c>
      <c r="C900">
        <v>1.1261134129341692</v>
      </c>
      <c r="D900" s="2">
        <v>-1.4621412526544951E-3</v>
      </c>
      <c r="E900" s="2">
        <v>-7.9987219202739201E-4</v>
      </c>
    </row>
    <row r="901" spans="1:5" x14ac:dyDescent="0.35">
      <c r="A901" s="1">
        <v>45496</v>
      </c>
      <c r="B901">
        <v>2404.60009765625</v>
      </c>
      <c r="C901">
        <v>1.1242270661502316</v>
      </c>
      <c r="D901" s="2">
        <v>5.2537740825496018E-3</v>
      </c>
      <c r="E901" s="2">
        <v>-1.6764993949065861E-3</v>
      </c>
    </row>
    <row r="902" spans="1:5" x14ac:dyDescent="0.35">
      <c r="A902" s="1">
        <v>45497</v>
      </c>
      <c r="B902">
        <v>2413.300048828125</v>
      </c>
      <c r="C902">
        <v>1.1216797983369107</v>
      </c>
      <c r="D902" s="2">
        <v>3.6115155414233003E-3</v>
      </c>
      <c r="E902" s="2">
        <v>-2.2683655728047698E-3</v>
      </c>
    </row>
    <row r="903" spans="1:5" x14ac:dyDescent="0.35">
      <c r="A903" s="1">
        <v>45498</v>
      </c>
      <c r="B903">
        <v>2351.89990234375</v>
      </c>
      <c r="C903">
        <v>1.1299179454548345</v>
      </c>
      <c r="D903" s="2">
        <v>-2.5771655108934748E-2</v>
      </c>
      <c r="E903" s="2">
        <v>7.3176338018658624E-3</v>
      </c>
    </row>
    <row r="904" spans="1:5" x14ac:dyDescent="0.35">
      <c r="A904" s="1">
        <v>45499</v>
      </c>
      <c r="B904">
        <v>2380</v>
      </c>
      <c r="C904">
        <v>1.1355378289908951</v>
      </c>
      <c r="D904" s="2">
        <v>1.1877017079959726E-2</v>
      </c>
      <c r="E904" s="2">
        <v>4.9613813938697996E-3</v>
      </c>
    </row>
    <row r="905" spans="1:5" x14ac:dyDescent="0.35">
      <c r="A905" s="1">
        <v>45502</v>
      </c>
      <c r="B905">
        <v>2377.300048828125</v>
      </c>
      <c r="C905">
        <v>1.1308379592145965</v>
      </c>
      <c r="D905" s="2">
        <v>-1.1350772219737724E-3</v>
      </c>
      <c r="E905" s="2">
        <v>-4.1474821058935353E-3</v>
      </c>
    </row>
    <row r="906" spans="1:5" x14ac:dyDescent="0.35">
      <c r="A906" s="1">
        <v>45503</v>
      </c>
      <c r="B906">
        <v>2405</v>
      </c>
      <c r="C906">
        <v>1.1285408041588854</v>
      </c>
      <c r="D906" s="2">
        <v>1.1584493096314897E-2</v>
      </c>
      <c r="E906" s="2">
        <v>-2.0334402398467216E-3</v>
      </c>
    </row>
    <row r="907" spans="1:5" x14ac:dyDescent="0.35">
      <c r="A907" s="1">
        <v>45504</v>
      </c>
      <c r="B907">
        <v>2426.5</v>
      </c>
      <c r="C907">
        <v>1.1337482720647265</v>
      </c>
      <c r="D907" s="2">
        <v>8.8999863054093509E-3</v>
      </c>
      <c r="E907" s="2">
        <v>4.603723863535171E-3</v>
      </c>
    </row>
    <row r="908" spans="1:5" x14ac:dyDescent="0.35">
      <c r="A908" s="1">
        <v>45505</v>
      </c>
      <c r="B908">
        <v>2435</v>
      </c>
      <c r="C908">
        <v>1.1387706186980511</v>
      </c>
      <c r="D908" s="2">
        <v>3.4968666714193194E-3</v>
      </c>
      <c r="E908" s="2">
        <v>4.420077501288166E-3</v>
      </c>
    </row>
    <row r="909" spans="1:5" x14ac:dyDescent="0.35">
      <c r="A909" s="1">
        <v>45506</v>
      </c>
      <c r="B909">
        <v>2425.699951171875</v>
      </c>
      <c r="C909">
        <v>1.1456065866784952</v>
      </c>
      <c r="D909" s="2">
        <v>-3.8266341350136168E-3</v>
      </c>
      <c r="E909" s="2">
        <v>5.984990893599571E-3</v>
      </c>
    </row>
    <row r="910" spans="1:5" x14ac:dyDescent="0.35">
      <c r="A910" s="1">
        <v>45509</v>
      </c>
      <c r="B910">
        <v>2401.699951171875</v>
      </c>
      <c r="C910">
        <v>1.1680878091064004</v>
      </c>
      <c r="D910" s="2">
        <v>-9.9433227926106604E-3</v>
      </c>
      <c r="E910" s="2">
        <v>1.9433793857194674E-2</v>
      </c>
    </row>
    <row r="911" spans="1:5" x14ac:dyDescent="0.35">
      <c r="A911" s="1">
        <v>45510</v>
      </c>
      <c r="B911">
        <v>2389.10009765625</v>
      </c>
      <c r="C911">
        <v>1.1698232032703588</v>
      </c>
      <c r="D911" s="2">
        <v>-5.2600327453438626E-3</v>
      </c>
      <c r="E911" s="2">
        <v>1.4845684660341764E-3</v>
      </c>
    </row>
    <row r="912" spans="1:5" x14ac:dyDescent="0.35">
      <c r="A912" s="1">
        <v>45511</v>
      </c>
      <c r="B912">
        <v>2390.5</v>
      </c>
      <c r="C912">
        <v>1.172951692099286</v>
      </c>
      <c r="D912" s="2">
        <v>5.8578222243603018E-4</v>
      </c>
      <c r="E912" s="2">
        <v>2.670756541501828E-3</v>
      </c>
    </row>
    <row r="913" spans="1:5" x14ac:dyDescent="0.35">
      <c r="A913" s="1">
        <v>45512</v>
      </c>
      <c r="B913">
        <v>2422.199951171875</v>
      </c>
      <c r="C913">
        <v>1.1637785878872859</v>
      </c>
      <c r="D913" s="2">
        <v>1.3173648862206806E-2</v>
      </c>
      <c r="E913" s="2">
        <v>-7.8512709931250445E-3</v>
      </c>
    </row>
    <row r="914" spans="1:5" x14ac:dyDescent="0.35">
      <c r="A914" s="1">
        <v>45513</v>
      </c>
      <c r="B914">
        <v>2432.10009765625</v>
      </c>
      <c r="C914">
        <v>1.1536020980064401</v>
      </c>
      <c r="D914" s="2">
        <v>4.0789238864625725E-3</v>
      </c>
      <c r="E914" s="2">
        <v>-8.7828084169741735E-3</v>
      </c>
    </row>
    <row r="915" spans="1:5" x14ac:dyDescent="0.35">
      <c r="A915" s="1">
        <v>45516</v>
      </c>
      <c r="B915">
        <v>2462.39990234375</v>
      </c>
      <c r="C915">
        <v>1.1560159010947662</v>
      </c>
      <c r="D915" s="2">
        <v>1.2381322610815695E-2</v>
      </c>
      <c r="E915" s="2">
        <v>2.0902192207491533E-3</v>
      </c>
    </row>
    <row r="916" spans="1:5" x14ac:dyDescent="0.35">
      <c r="A916" s="1">
        <v>45517</v>
      </c>
      <c r="B916">
        <v>2466.699951171875</v>
      </c>
      <c r="C916">
        <v>1.1564303301915209</v>
      </c>
      <c r="D916" s="2">
        <v>1.7447607257966857E-3</v>
      </c>
      <c r="E916" s="2">
        <v>3.584335026558911E-4</v>
      </c>
    </row>
    <row r="917" spans="1:5" x14ac:dyDescent="0.35">
      <c r="A917" s="1">
        <v>45518</v>
      </c>
      <c r="B917">
        <v>2439.39990234375</v>
      </c>
      <c r="C917">
        <v>1.1560025193736623</v>
      </c>
      <c r="D917" s="2">
        <v>-1.1129137775200023E-2</v>
      </c>
      <c r="E917" s="2">
        <v>-3.7000929373568451E-4</v>
      </c>
    </row>
    <row r="918" spans="1:5" x14ac:dyDescent="0.35">
      <c r="A918" s="1">
        <v>45519</v>
      </c>
      <c r="B918">
        <v>2453.10009765625</v>
      </c>
      <c r="C918">
        <v>1.1563287074118014</v>
      </c>
      <c r="D918" s="2">
        <v>5.6005032691237872E-3</v>
      </c>
      <c r="E918" s="2">
        <v>2.8212916603312404E-4</v>
      </c>
    </row>
    <row r="919" spans="1:5" x14ac:dyDescent="0.35">
      <c r="A919" s="1">
        <v>45520</v>
      </c>
      <c r="B919">
        <v>2498.60009765625</v>
      </c>
      <c r="C919">
        <v>1.1461449561970858</v>
      </c>
      <c r="D919" s="2">
        <v>1.837804343675201E-2</v>
      </c>
      <c r="E919" s="2">
        <v>-8.8459796811421482E-3</v>
      </c>
    </row>
    <row r="920" spans="1:5" x14ac:dyDescent="0.35">
      <c r="A920" s="1">
        <v>45523</v>
      </c>
      <c r="B920">
        <v>2501.800048828125</v>
      </c>
      <c r="C920">
        <v>1.1526314621536473</v>
      </c>
      <c r="D920" s="2">
        <v>1.2798782157230325E-3</v>
      </c>
      <c r="E920" s="2">
        <v>5.6434572064406096E-3</v>
      </c>
    </row>
    <row r="921" spans="1:5" x14ac:dyDescent="0.35">
      <c r="A921" s="1">
        <v>45524</v>
      </c>
      <c r="B921">
        <v>2511.300048828125</v>
      </c>
      <c r="C921">
        <v>1.1595950503201236</v>
      </c>
      <c r="D921" s="2">
        <v>3.7900744796478744E-3</v>
      </c>
      <c r="E921" s="2">
        <v>6.0232932908442808E-3</v>
      </c>
    </row>
    <row r="922" spans="1:5" x14ac:dyDescent="0.35">
      <c r="A922" s="1">
        <v>45525</v>
      </c>
      <c r="B922">
        <v>2508.39990234375</v>
      </c>
      <c r="C922">
        <v>1.1715638433670661</v>
      </c>
      <c r="D922" s="2">
        <v>-1.1555060403106994E-3</v>
      </c>
      <c r="E922" s="2">
        <v>1.0268624974137384E-2</v>
      </c>
    </row>
    <row r="923" spans="1:5" x14ac:dyDescent="0.35">
      <c r="A923" s="1">
        <v>45526</v>
      </c>
      <c r="B923">
        <v>2478.89990234375</v>
      </c>
      <c r="C923">
        <v>1.1749500265738242</v>
      </c>
      <c r="D923" s="2">
        <v>-1.1830186756921601E-2</v>
      </c>
      <c r="E923" s="2">
        <v>2.8861415230976742E-3</v>
      </c>
    </row>
    <row r="924" spans="1:5" x14ac:dyDescent="0.35">
      <c r="A924" s="1">
        <v>45527</v>
      </c>
      <c r="B924">
        <v>2508.39990234375</v>
      </c>
      <c r="C924">
        <v>1.1741223326361845</v>
      </c>
      <c r="D924" s="2">
        <v>1.1830186756921704E-2</v>
      </c>
      <c r="E924" s="2">
        <v>-7.0469857486279346E-4</v>
      </c>
    </row>
    <row r="925" spans="1:5" x14ac:dyDescent="0.35">
      <c r="A925" s="1">
        <v>45530</v>
      </c>
      <c r="B925">
        <v>2517.699951171875</v>
      </c>
      <c r="C925">
        <v>1.1801916349921153</v>
      </c>
      <c r="D925" s="2">
        <v>3.700706198852698E-3</v>
      </c>
      <c r="E925" s="2">
        <v>5.1559102860599766E-3</v>
      </c>
    </row>
    <row r="926" spans="1:5" x14ac:dyDescent="0.35">
      <c r="A926" s="1">
        <v>45531</v>
      </c>
      <c r="B926">
        <v>2516</v>
      </c>
      <c r="C926">
        <v>1.1804981431158783</v>
      </c>
      <c r="D926" s="2">
        <v>-6.7542811569694958E-4</v>
      </c>
      <c r="E926" s="2">
        <v>2.5967675069199969E-4</v>
      </c>
    </row>
    <row r="927" spans="1:5" x14ac:dyDescent="0.35">
      <c r="A927" s="1">
        <v>45532</v>
      </c>
      <c r="B927">
        <v>2501</v>
      </c>
      <c r="C927">
        <v>1.188043551075018</v>
      </c>
      <c r="D927" s="2">
        <v>-5.9796869427120756E-3</v>
      </c>
      <c r="E927" s="2">
        <v>6.3713748444862465E-3</v>
      </c>
    </row>
    <row r="928" spans="1:5" x14ac:dyDescent="0.35">
      <c r="A928" s="1">
        <v>45533</v>
      </c>
      <c r="B928">
        <v>2525.699951171875</v>
      </c>
      <c r="C928">
        <v>1.1879023996778113</v>
      </c>
      <c r="D928" s="2">
        <v>9.8275808015969926E-3</v>
      </c>
      <c r="E928" s="2">
        <v>-1.1881701040211302E-4</v>
      </c>
    </row>
    <row r="929" spans="1:5" x14ac:dyDescent="0.35">
      <c r="A929" s="1">
        <v>45534</v>
      </c>
      <c r="B929">
        <v>2493.800048828125</v>
      </c>
      <c r="C929">
        <v>1.1807212110101171</v>
      </c>
      <c r="D929" s="2">
        <v>-1.2710561536922458E-2</v>
      </c>
      <c r="E929" s="2">
        <v>-6.0636148673813848E-3</v>
      </c>
    </row>
    <row r="930" spans="1:5" x14ac:dyDescent="0.35">
      <c r="A930" s="1">
        <v>45538</v>
      </c>
      <c r="B930">
        <v>2489.89990234375</v>
      </c>
      <c r="C930">
        <v>1.1745774774990483</v>
      </c>
      <c r="D930" s="2">
        <v>-1.5651613535240963E-3</v>
      </c>
      <c r="E930" s="2">
        <v>-5.2169582357923959E-3</v>
      </c>
    </row>
    <row r="931" spans="1:5" x14ac:dyDescent="0.35">
      <c r="A931" s="1">
        <v>45539</v>
      </c>
      <c r="B931">
        <v>2493.39990234375</v>
      </c>
      <c r="C931">
        <v>1.1765674981077472</v>
      </c>
      <c r="D931" s="2">
        <v>1.4046919562063706E-3</v>
      </c>
      <c r="E931" s="2">
        <v>1.6928101878561337E-3</v>
      </c>
    </row>
    <row r="932" spans="1:5" x14ac:dyDescent="0.35">
      <c r="A932" s="1">
        <v>45540</v>
      </c>
      <c r="B932">
        <v>2511.39990234375</v>
      </c>
      <c r="C932">
        <v>1.181977196876808</v>
      </c>
      <c r="D932" s="2">
        <v>7.1931259247034075E-3</v>
      </c>
      <c r="E932" s="2">
        <v>4.5873273185592454E-3</v>
      </c>
    </row>
    <row r="933" spans="1:5" x14ac:dyDescent="0.35">
      <c r="A933" s="1">
        <v>45541</v>
      </c>
      <c r="B933">
        <v>2493.5</v>
      </c>
      <c r="C933">
        <v>1.1851008806167334</v>
      </c>
      <c r="D933" s="2">
        <v>-7.1529816835019886E-3</v>
      </c>
      <c r="E933" s="2">
        <v>2.6392754703492612E-3</v>
      </c>
    </row>
    <row r="934" spans="1:5" x14ac:dyDescent="0.35">
      <c r="A934" s="1">
        <v>45544</v>
      </c>
      <c r="B934">
        <v>2501.800048828125</v>
      </c>
      <c r="C934">
        <v>1.1849183315954472</v>
      </c>
      <c r="D934" s="2">
        <v>3.3231463116611603E-3</v>
      </c>
      <c r="E934" s="2">
        <v>-1.5404855851503695E-4</v>
      </c>
    </row>
    <row r="935" spans="1:5" x14ac:dyDescent="0.35">
      <c r="A935" s="1">
        <v>45545</v>
      </c>
      <c r="B935">
        <v>2512.300048828125</v>
      </c>
      <c r="C935">
        <v>1.1772323376374232</v>
      </c>
      <c r="D935" s="2">
        <v>4.1881953466630442E-3</v>
      </c>
      <c r="E935" s="2">
        <v>-6.507646766929465E-3</v>
      </c>
    </row>
    <row r="936" spans="1:5" x14ac:dyDescent="0.35">
      <c r="A936" s="1">
        <v>45546</v>
      </c>
      <c r="B936">
        <v>2512.10009765625</v>
      </c>
      <c r="C936">
        <v>1.1811674334851201</v>
      </c>
      <c r="D936" s="2">
        <v>-7.9592057221238266E-5</v>
      </c>
      <c r="E936" s="2">
        <v>3.3370928438090411E-3</v>
      </c>
    </row>
    <row r="937" spans="1:5" x14ac:dyDescent="0.35">
      <c r="A937" s="1">
        <v>45547</v>
      </c>
      <c r="B937">
        <v>2551.199951171875</v>
      </c>
      <c r="C937">
        <v>1.1728829759314956</v>
      </c>
      <c r="D937" s="2">
        <v>1.5444721969289848E-2</v>
      </c>
      <c r="E937" s="2">
        <v>-7.0384998739116602E-3</v>
      </c>
    </row>
    <row r="938" spans="1:5" x14ac:dyDescent="0.35">
      <c r="A938" s="1">
        <v>45548</v>
      </c>
      <c r="B938">
        <v>2581.300048828125</v>
      </c>
      <c r="C938">
        <v>1.1766367292206399</v>
      </c>
      <c r="D938" s="2">
        <v>1.1729349341314652E-2</v>
      </c>
      <c r="E938" s="2">
        <v>3.1953394345164187E-3</v>
      </c>
    </row>
    <row r="939" spans="1:5" x14ac:dyDescent="0.35">
      <c r="A939" s="1">
        <v>45551</v>
      </c>
      <c r="B939">
        <v>2580.39990234375</v>
      </c>
      <c r="C939">
        <v>1.1796626167571107</v>
      </c>
      <c r="D939" s="2">
        <v>-3.4877908519097121E-4</v>
      </c>
      <c r="E939" s="2">
        <v>2.5683402280437615E-3</v>
      </c>
    </row>
    <row r="940" spans="1:5" x14ac:dyDescent="0.35">
      <c r="A940" s="1">
        <v>45552</v>
      </c>
      <c r="B940">
        <v>2564.300048828125</v>
      </c>
      <c r="C940">
        <v>1.1840204673337849</v>
      </c>
      <c r="D940" s="2">
        <v>-6.2588318949571399E-3</v>
      </c>
      <c r="E940" s="2">
        <v>3.6873433191028687E-3</v>
      </c>
    </row>
    <row r="941" spans="1:5" x14ac:dyDescent="0.35">
      <c r="A941" s="1">
        <v>45553</v>
      </c>
      <c r="B941">
        <v>2570.699951171875</v>
      </c>
      <c r="C941">
        <v>1.1815722180501935</v>
      </c>
      <c r="D941" s="2">
        <v>2.4926604313492201E-3</v>
      </c>
      <c r="E941" s="2">
        <v>-2.0698830976506495E-3</v>
      </c>
    </row>
    <row r="942" spans="1:5" x14ac:dyDescent="0.35">
      <c r="A942" s="1">
        <v>45554</v>
      </c>
      <c r="B942">
        <v>2588</v>
      </c>
      <c r="C942">
        <v>1.1802195305281233</v>
      </c>
      <c r="D942" s="2">
        <v>6.7071602717054171E-3</v>
      </c>
      <c r="E942" s="2">
        <v>-1.1454758200347293E-3</v>
      </c>
    </row>
    <row r="943" spans="1:5" x14ac:dyDescent="0.35">
      <c r="A943" s="1">
        <v>45555</v>
      </c>
      <c r="B943">
        <v>2619.89990234375</v>
      </c>
      <c r="C943">
        <v>1.1795513136532589</v>
      </c>
      <c r="D943" s="2">
        <v>1.2250735192204589E-2</v>
      </c>
      <c r="E943" s="2">
        <v>-5.6634049392757649E-4</v>
      </c>
    </row>
    <row r="944" spans="1:5" x14ac:dyDescent="0.35">
      <c r="A944" s="1">
        <v>45558</v>
      </c>
      <c r="B944">
        <v>2626.5</v>
      </c>
      <c r="C944">
        <v>1.1752262388208017</v>
      </c>
      <c r="D944" s="2">
        <v>2.516049581020544E-3</v>
      </c>
      <c r="E944" s="2">
        <v>-3.6734507610243728E-3</v>
      </c>
    </row>
    <row r="945" spans="1:5" x14ac:dyDescent="0.35">
      <c r="A945" s="1">
        <v>45559</v>
      </c>
      <c r="B945">
        <v>2651.199951171875</v>
      </c>
      <c r="C945">
        <v>1.1801916349921153</v>
      </c>
      <c r="D945" s="2">
        <v>9.360187860914403E-3</v>
      </c>
      <c r="E945" s="2">
        <v>4.2161550881545436E-3</v>
      </c>
    </row>
    <row r="946" spans="1:5" x14ac:dyDescent="0.35">
      <c r="A946" s="1">
        <v>45560</v>
      </c>
      <c r="B946">
        <v>2659.199951171875</v>
      </c>
      <c r="C946">
        <v>1.1883400108866609</v>
      </c>
      <c r="D946" s="2">
        <v>3.0129580442378738E-3</v>
      </c>
      <c r="E946" s="2">
        <v>6.880556614423685E-3</v>
      </c>
    </row>
    <row r="947" spans="1:5" x14ac:dyDescent="0.35">
      <c r="A947" s="1">
        <v>45561</v>
      </c>
      <c r="B947">
        <v>2669.89990234375</v>
      </c>
      <c r="C947">
        <v>1.1756821577165333</v>
      </c>
      <c r="D947" s="2">
        <v>4.0156746334729662E-3</v>
      </c>
      <c r="E947" s="2">
        <v>-1.0708845546569021E-2</v>
      </c>
    </row>
    <row r="948" spans="1:5" x14ac:dyDescent="0.35">
      <c r="A948" s="1">
        <v>45562</v>
      </c>
      <c r="B948">
        <v>2644.300048828125</v>
      </c>
      <c r="C948">
        <v>1.1816978857832594</v>
      </c>
      <c r="D948" s="2">
        <v>-9.6345834844363196E-3</v>
      </c>
      <c r="E948" s="2">
        <v>5.1037516344377854E-3</v>
      </c>
    </row>
    <row r="949" spans="1:5" x14ac:dyDescent="0.35">
      <c r="A949" s="1">
        <v>45565</v>
      </c>
      <c r="B949">
        <v>2636.10009765625</v>
      </c>
      <c r="C949">
        <v>1.189767999290843</v>
      </c>
      <c r="D949" s="2">
        <v>-3.1058092325682647E-3</v>
      </c>
      <c r="E949" s="2">
        <v>6.8060390077278581E-3</v>
      </c>
    </row>
    <row r="950" spans="1:5" x14ac:dyDescent="0.35">
      <c r="A950" s="1">
        <v>45566</v>
      </c>
      <c r="B950">
        <v>2667.300048828125</v>
      </c>
      <c r="C950">
        <v>1.1829979915312057</v>
      </c>
      <c r="D950" s="2">
        <v>1.1766153885765089E-2</v>
      </c>
      <c r="E950" s="2">
        <v>-5.7064423184311095E-3</v>
      </c>
    </row>
    <row r="951" spans="1:5" x14ac:dyDescent="0.35">
      <c r="A951" s="1">
        <v>45567</v>
      </c>
      <c r="B951">
        <v>2647.10009765625</v>
      </c>
      <c r="C951">
        <v>1.181558238126873</v>
      </c>
      <c r="D951" s="2">
        <v>-7.602005078805537E-3</v>
      </c>
      <c r="E951" s="2">
        <v>-1.2177791030739229E-3</v>
      </c>
    </row>
    <row r="952" spans="1:5" x14ac:dyDescent="0.35">
      <c r="A952" s="1">
        <v>45568</v>
      </c>
      <c r="B952">
        <v>2657.10009765625</v>
      </c>
      <c r="C952">
        <v>1.1765951400661079</v>
      </c>
      <c r="D952" s="2">
        <v>3.7706012139948329E-3</v>
      </c>
      <c r="E952" s="2">
        <v>-4.2093151656815526E-3</v>
      </c>
    </row>
    <row r="953" spans="1:5" x14ac:dyDescent="0.35">
      <c r="A953" s="1">
        <v>45569</v>
      </c>
      <c r="B953">
        <v>2645.800048828125</v>
      </c>
      <c r="C953">
        <v>1.1739707508221957</v>
      </c>
      <c r="D953" s="2">
        <v>-4.2618437533547739E-3</v>
      </c>
      <c r="E953" s="2">
        <v>-2.2329859754780233E-3</v>
      </c>
    </row>
    <row r="954" spans="1:5" x14ac:dyDescent="0.35">
      <c r="A954" s="1">
        <v>45572</v>
      </c>
      <c r="B954">
        <v>2644.800048828125</v>
      </c>
      <c r="C954">
        <v>1.1645645957485089</v>
      </c>
      <c r="D954" s="2">
        <v>-3.7802895454220627E-4</v>
      </c>
      <c r="E954" s="2">
        <v>-8.0445273693056894E-3</v>
      </c>
    </row>
    <row r="955" spans="1:5" x14ac:dyDescent="0.35">
      <c r="A955" s="1">
        <v>45573</v>
      </c>
      <c r="B955">
        <v>2615</v>
      </c>
      <c r="C955">
        <v>1.1701654817414477</v>
      </c>
      <c r="D955" s="2">
        <v>-1.1331369029670978E-2</v>
      </c>
      <c r="E955" s="2">
        <v>4.7978965887435854E-3</v>
      </c>
    </row>
    <row r="956" spans="1:5" x14ac:dyDescent="0.35">
      <c r="A956" s="1">
        <v>45574</v>
      </c>
      <c r="B956">
        <v>2606</v>
      </c>
      <c r="C956">
        <v>1.1663167715054483</v>
      </c>
      <c r="D956" s="2">
        <v>-3.4476188142327953E-3</v>
      </c>
      <c r="E956" s="2">
        <v>-3.2944514871617444E-3</v>
      </c>
    </row>
    <row r="957" spans="1:5" x14ac:dyDescent="0.35">
      <c r="A957" s="1">
        <v>45575</v>
      </c>
      <c r="B957">
        <v>2620.60009765625</v>
      </c>
      <c r="C957">
        <v>1.1621555702915658</v>
      </c>
      <c r="D957" s="2">
        <v>5.5868577505378105E-3</v>
      </c>
      <c r="E957" s="2">
        <v>-3.5741937484792701E-3</v>
      </c>
    </row>
    <row r="958" spans="1:5" x14ac:dyDescent="0.35">
      <c r="A958" s="1">
        <v>45576</v>
      </c>
      <c r="B958">
        <v>2657.60009765625</v>
      </c>
      <c r="C958">
        <v>1.1674741992706739</v>
      </c>
      <c r="D958" s="2">
        <v>1.4020160169731887E-2</v>
      </c>
      <c r="E958" s="2">
        <v>4.5660802324123083E-3</v>
      </c>
    </row>
    <row r="959" spans="1:5" x14ac:dyDescent="0.35">
      <c r="A959" s="1">
        <v>45579</v>
      </c>
      <c r="B959">
        <v>2647.800048828125</v>
      </c>
      <c r="C959">
        <v>1.1650938299225189</v>
      </c>
      <c r="D959" s="2">
        <v>-3.6943716604866234E-3</v>
      </c>
      <c r="E959" s="2">
        <v>-2.0409867105048163E-3</v>
      </c>
    </row>
    <row r="960" spans="1:5" x14ac:dyDescent="0.35">
      <c r="A960" s="1">
        <v>45580</v>
      </c>
      <c r="B960">
        <v>2661.39990234375</v>
      </c>
      <c r="C960">
        <v>1.1599582345741783</v>
      </c>
      <c r="D960" s="2">
        <v>5.1231384715043505E-3</v>
      </c>
      <c r="E960" s="2">
        <v>-4.4176246878032703E-3</v>
      </c>
    </row>
    <row r="961" spans="1:5" x14ac:dyDescent="0.35">
      <c r="A961" s="1">
        <v>45581</v>
      </c>
      <c r="B961">
        <v>2674</v>
      </c>
      <c r="C961">
        <v>1.1593665132105408</v>
      </c>
      <c r="D961" s="2">
        <v>4.7232152458107166E-3</v>
      </c>
      <c r="E961" s="2">
        <v>-5.1025314763785117E-4</v>
      </c>
    </row>
    <row r="962" spans="1:5" x14ac:dyDescent="0.35">
      <c r="A962" s="1">
        <v>45582</v>
      </c>
      <c r="B962">
        <v>2691</v>
      </c>
      <c r="C962">
        <v>1.1556685546407481</v>
      </c>
      <c r="D962" s="2">
        <v>6.337393065017404E-3</v>
      </c>
      <c r="E962" s="2">
        <v>-3.194734944935745E-3</v>
      </c>
    </row>
    <row r="963" spans="1:5" x14ac:dyDescent="0.35">
      <c r="A963" s="1">
        <v>45583</v>
      </c>
      <c r="B963">
        <v>2713.699951171875</v>
      </c>
      <c r="C963">
        <v>1.1548277296882996</v>
      </c>
      <c r="D963" s="2">
        <v>8.4001276135835298E-3</v>
      </c>
      <c r="E963" s="2">
        <v>-7.2783063558198955E-4</v>
      </c>
    </row>
    <row r="964" spans="1:5" x14ac:dyDescent="0.35">
      <c r="A964" s="1">
        <v>45586</v>
      </c>
      <c r="B964">
        <v>2723.10009765625</v>
      </c>
      <c r="C964">
        <v>1.1561629611283541</v>
      </c>
      <c r="D964" s="2">
        <v>3.4579737223619676E-3</v>
      </c>
      <c r="E964" s="2">
        <v>1.1555490845874226E-3</v>
      </c>
    </row>
    <row r="965" spans="1:5" x14ac:dyDescent="0.35">
      <c r="A965" s="1">
        <v>45587</v>
      </c>
      <c r="B965">
        <v>2744.199951171875</v>
      </c>
      <c r="C965">
        <v>1.1555216999318831</v>
      </c>
      <c r="D965" s="2">
        <v>7.7186026310139128E-3</v>
      </c>
      <c r="E965" s="2">
        <v>-5.5479990305028117E-4</v>
      </c>
    </row>
    <row r="966" spans="1:5" x14ac:dyDescent="0.35">
      <c r="A966" s="1">
        <v>45588</v>
      </c>
      <c r="B966">
        <v>2714.39990234375</v>
      </c>
      <c r="C966">
        <v>1.1553614360922635</v>
      </c>
      <c r="D966" s="2">
        <v>-1.0918677200949221E-2</v>
      </c>
      <c r="E966" s="2">
        <v>-1.3870354357456798E-4</v>
      </c>
    </row>
    <row r="967" spans="1:5" x14ac:dyDescent="0.35">
      <c r="A967" s="1">
        <v>45589</v>
      </c>
      <c r="B967">
        <v>2734.89990234375</v>
      </c>
      <c r="C967">
        <v>1.1537485445089373</v>
      </c>
      <c r="D967" s="2">
        <v>7.5239379159915531E-3</v>
      </c>
      <c r="E967" s="2">
        <v>-1.3969813990500188E-3</v>
      </c>
    </row>
    <row r="968" spans="1:5" x14ac:dyDescent="0.35">
      <c r="A968" s="1">
        <v>45590</v>
      </c>
      <c r="B968">
        <v>2740.89990234375</v>
      </c>
      <c r="C968">
        <v>1.1549077820383828</v>
      </c>
      <c r="D968" s="2">
        <v>2.1914615637027659E-3</v>
      </c>
      <c r="E968" s="2">
        <v>1.004253091759062E-3</v>
      </c>
    </row>
    <row r="969" spans="1:5" x14ac:dyDescent="0.35">
      <c r="A969" s="1">
        <v>45593</v>
      </c>
      <c r="B969">
        <v>2742.89990234375</v>
      </c>
      <c r="C969">
        <v>1.1514635107030096</v>
      </c>
      <c r="D969" s="2">
        <v>7.2942126259476002E-4</v>
      </c>
      <c r="E969" s="2">
        <v>-2.9867471093170577E-3</v>
      </c>
    </row>
    <row r="970" spans="1:5" x14ac:dyDescent="0.35">
      <c r="A970" s="1">
        <v>45594</v>
      </c>
      <c r="B970">
        <v>2768.39990234375</v>
      </c>
      <c r="C970">
        <v>1.1562565063143253</v>
      </c>
      <c r="D970" s="2">
        <v>9.2537814571629334E-3</v>
      </c>
      <c r="E970" s="2">
        <v>4.1538856254697719E-3</v>
      </c>
    </row>
    <row r="971" spans="1:5" x14ac:dyDescent="0.35">
      <c r="A971" s="1">
        <v>45595</v>
      </c>
      <c r="B971">
        <v>2788.5</v>
      </c>
      <c r="C971">
        <v>1.1531099580694562</v>
      </c>
      <c r="D971" s="2">
        <v>7.2343161372402948E-3</v>
      </c>
      <c r="E971" s="2">
        <v>-2.7250332422633855E-3</v>
      </c>
    </row>
    <row r="972" spans="1:5" x14ac:dyDescent="0.35">
      <c r="A972" s="1">
        <v>45596</v>
      </c>
      <c r="B972">
        <v>2738.300048828125</v>
      </c>
      <c r="C972">
        <v>1.1543345436821622</v>
      </c>
      <c r="D972" s="2">
        <v>-1.8166509123427009E-2</v>
      </c>
      <c r="E972" s="2">
        <v>1.0614216088370733E-3</v>
      </c>
    </row>
    <row r="973" spans="1:5" x14ac:dyDescent="0.35">
      <c r="A973" s="1">
        <v>45597</v>
      </c>
      <c r="B973">
        <v>2738.60009765625</v>
      </c>
      <c r="C973">
        <v>1.1580239562992221</v>
      </c>
      <c r="D973" s="2">
        <v>1.095688511384859E-4</v>
      </c>
      <c r="E973" s="2">
        <v>3.1910413093684024E-3</v>
      </c>
    </row>
    <row r="974" spans="1:5" x14ac:dyDescent="0.35">
      <c r="A974" s="1">
        <v>45600</v>
      </c>
      <c r="B974">
        <v>2736.10009765625</v>
      </c>
      <c r="C974">
        <v>1.1526048554975563</v>
      </c>
      <c r="D974" s="2">
        <v>-9.1329208343201608E-4</v>
      </c>
      <c r="E974" s="2">
        <v>-4.6905939281705984E-3</v>
      </c>
    </row>
    <row r="975" spans="1:5" x14ac:dyDescent="0.35">
      <c r="A975" s="1">
        <v>45601</v>
      </c>
      <c r="B975">
        <v>2740.300048828125</v>
      </c>
      <c r="C975">
        <v>1.1571797016864038</v>
      </c>
      <c r="D975" s="2">
        <v>1.5338367843668287E-3</v>
      </c>
      <c r="E975" s="2">
        <v>3.9612804206287057E-3</v>
      </c>
    </row>
    <row r="976" spans="1:5" x14ac:dyDescent="0.35">
      <c r="A976" s="1">
        <v>45602</v>
      </c>
      <c r="B976">
        <v>2667.60009765625</v>
      </c>
      <c r="C976">
        <v>1.1595412734912593</v>
      </c>
      <c r="D976" s="2">
        <v>-2.688819289182318E-2</v>
      </c>
      <c r="E976" s="2">
        <v>2.0387199391934379E-3</v>
      </c>
    </row>
    <row r="977" spans="1:5" x14ac:dyDescent="0.35">
      <c r="A977" s="1">
        <v>45603</v>
      </c>
      <c r="B977">
        <v>2698.39990234375</v>
      </c>
      <c r="C977">
        <v>1.141943591966353</v>
      </c>
      <c r="D977" s="2">
        <v>1.1479740190580862E-2</v>
      </c>
      <c r="E977" s="2">
        <v>-1.5292757080025657E-2</v>
      </c>
    </row>
    <row r="978" spans="1:5" x14ac:dyDescent="0.35">
      <c r="A978" s="1">
        <v>45604</v>
      </c>
      <c r="B978">
        <v>2687.5</v>
      </c>
      <c r="C978">
        <v>1.1457640772586208</v>
      </c>
      <c r="D978" s="2">
        <v>-4.0475751210939112E-3</v>
      </c>
      <c r="E978" s="2">
        <v>3.3400148938117873E-3</v>
      </c>
    </row>
    <row r="979" spans="1:5" x14ac:dyDescent="0.35">
      <c r="A979" s="1">
        <v>45607</v>
      </c>
      <c r="B979">
        <v>2611.199951171875</v>
      </c>
      <c r="C979">
        <v>1.1415525281929633</v>
      </c>
      <c r="D979" s="2">
        <v>-2.8801526365626901E-2</v>
      </c>
      <c r="E979" s="2">
        <v>-3.682528089923988E-3</v>
      </c>
    </row>
    <row r="980" spans="1:5" x14ac:dyDescent="0.35">
      <c r="A980" s="1">
        <v>45608</v>
      </c>
      <c r="B980">
        <v>2600</v>
      </c>
      <c r="C980">
        <v>1.1360150807666056</v>
      </c>
      <c r="D980" s="2">
        <v>-4.2984220607178896E-3</v>
      </c>
      <c r="E980" s="2">
        <v>-4.8626072092218574E-3</v>
      </c>
    </row>
    <row r="981" spans="1:5" x14ac:dyDescent="0.35">
      <c r="A981" s="1">
        <v>45609</v>
      </c>
      <c r="B981">
        <v>2580.800048828125</v>
      </c>
      <c r="C981">
        <v>1.1335811995373843</v>
      </c>
      <c r="D981" s="2">
        <v>-7.4119977188659798E-3</v>
      </c>
      <c r="E981" s="2">
        <v>-2.1447710179466001E-3</v>
      </c>
    </row>
    <row r="982" spans="1:5" x14ac:dyDescent="0.35">
      <c r="A982" s="1">
        <v>45610</v>
      </c>
      <c r="B982">
        <v>2568.199951171875</v>
      </c>
      <c r="C982">
        <v>1.1289612136126328</v>
      </c>
      <c r="D982" s="2">
        <v>-4.8942019061207313E-3</v>
      </c>
      <c r="E982" s="2">
        <v>-4.0838945771655899E-3</v>
      </c>
    </row>
    <row r="983" spans="1:5" x14ac:dyDescent="0.35">
      <c r="A983" s="1">
        <v>45611</v>
      </c>
      <c r="B983">
        <v>2565.699951171875</v>
      </c>
      <c r="C983">
        <v>1.1230403108513067</v>
      </c>
      <c r="D983" s="2">
        <v>-9.7391855905345874E-4</v>
      </c>
      <c r="E983" s="2">
        <v>-5.2583591440011745E-3</v>
      </c>
    </row>
    <row r="984" spans="1:5" x14ac:dyDescent="0.35">
      <c r="A984" s="1">
        <v>45614</v>
      </c>
      <c r="B984">
        <v>2610.60009765625</v>
      </c>
      <c r="C984">
        <v>1.1252770649728638</v>
      </c>
      <c r="D984" s="2">
        <v>1.7348790536743833E-2</v>
      </c>
      <c r="E984" s="2">
        <v>1.9897145158812744E-3</v>
      </c>
    </row>
    <row r="985" spans="1:5" x14ac:dyDescent="0.35">
      <c r="A985" s="1">
        <v>45615</v>
      </c>
      <c r="B985">
        <v>2627.10009765625</v>
      </c>
      <c r="C985">
        <v>1.1322463898933413</v>
      </c>
      <c r="D985" s="2">
        <v>6.3004960066535718E-3</v>
      </c>
      <c r="E985" s="2">
        <v>6.1743297027777042E-3</v>
      </c>
    </row>
    <row r="986" spans="1:5" x14ac:dyDescent="0.35">
      <c r="A986" s="1">
        <v>45616</v>
      </c>
      <c r="B986">
        <v>2648.199951171875</v>
      </c>
      <c r="C986">
        <v>1.1336968657810607</v>
      </c>
      <c r="D986" s="2">
        <v>7.9995320984941332E-3</v>
      </c>
      <c r="E986" s="2">
        <v>1.2802404316169169E-3</v>
      </c>
    </row>
    <row r="987" spans="1:5" x14ac:dyDescent="0.35">
      <c r="A987" s="1">
        <v>45617</v>
      </c>
      <c r="B987">
        <v>2672.10009765625</v>
      </c>
      <c r="C987">
        <v>1.131669772529682</v>
      </c>
      <c r="D987" s="2">
        <v>8.9845711851382487E-3</v>
      </c>
      <c r="E987" s="2">
        <v>-1.7896386025375672E-3</v>
      </c>
    </row>
    <row r="988" spans="1:5" x14ac:dyDescent="0.35">
      <c r="A988" s="1">
        <v>45618</v>
      </c>
      <c r="B988">
        <v>2709.89990234375</v>
      </c>
      <c r="C988">
        <v>1.1275228225168052</v>
      </c>
      <c r="D988" s="2">
        <v>1.4046981134497769E-2</v>
      </c>
      <c r="E988" s="2">
        <v>-3.6711829522995828E-3</v>
      </c>
    </row>
    <row r="989" spans="1:5" x14ac:dyDescent="0.35">
      <c r="A989" s="1">
        <v>45621</v>
      </c>
      <c r="B989">
        <v>2616.800048828125</v>
      </c>
      <c r="C989">
        <v>1.1230024241599914</v>
      </c>
      <c r="D989" s="2">
        <v>-3.4959481903407377E-2</v>
      </c>
      <c r="E989" s="2">
        <v>-4.0171994894337183E-3</v>
      </c>
    </row>
    <row r="990" spans="1:5" x14ac:dyDescent="0.35">
      <c r="A990" s="1">
        <v>45622</v>
      </c>
      <c r="B990">
        <v>2620.300048828125</v>
      </c>
      <c r="C990">
        <v>1.1251124796215561</v>
      </c>
      <c r="D990" s="2">
        <v>1.336617767776714E-3</v>
      </c>
      <c r="E990" s="2">
        <v>1.8771781439042179E-3</v>
      </c>
    </row>
    <row r="991" spans="1:5" x14ac:dyDescent="0.35">
      <c r="A991" s="1">
        <v>45623</v>
      </c>
      <c r="B991">
        <v>2639.89990234375</v>
      </c>
      <c r="C991">
        <v>1.1283243425663469</v>
      </c>
      <c r="D991" s="2">
        <v>7.4521669912282042E-3</v>
      </c>
      <c r="E991" s="2">
        <v>2.8506369365826918E-3</v>
      </c>
    </row>
    <row r="992" spans="1:5" x14ac:dyDescent="0.35">
      <c r="A992" s="1">
        <v>45625</v>
      </c>
      <c r="B992">
        <v>2657</v>
      </c>
      <c r="C992">
        <v>1.1333499378411802</v>
      </c>
      <c r="D992" s="2">
        <v>6.4566661171555654E-3</v>
      </c>
      <c r="E992" s="2">
        <v>4.4441444020779167E-3</v>
      </c>
    </row>
    <row r="993" spans="1:5" x14ac:dyDescent="0.35">
      <c r="A993" s="1">
        <v>45628</v>
      </c>
      <c r="B993">
        <v>2634.89990234375</v>
      </c>
      <c r="C993">
        <v>1.1337521794393646</v>
      </c>
      <c r="D993" s="2">
        <v>-8.3524732312347631E-3</v>
      </c>
      <c r="E993" s="2">
        <v>3.5485089034081033E-4</v>
      </c>
    </row>
    <row r="994" spans="1:5" x14ac:dyDescent="0.35">
      <c r="A994" s="1">
        <v>45629</v>
      </c>
      <c r="B994">
        <v>2644.699951171875</v>
      </c>
      <c r="C994">
        <v>1.128311594262841</v>
      </c>
      <c r="D994" s="2">
        <v>3.7124253183831268E-3</v>
      </c>
      <c r="E994" s="2">
        <v>-4.8102937950243625E-3</v>
      </c>
    </row>
    <row r="995" spans="1:5" x14ac:dyDescent="0.35">
      <c r="A995" s="1">
        <v>45630</v>
      </c>
      <c r="B995">
        <v>2653.800048828125</v>
      </c>
      <c r="C995">
        <v>1.1281588646713634</v>
      </c>
      <c r="D995" s="2">
        <v>3.4349746546976641E-3</v>
      </c>
      <c r="E995" s="2">
        <v>-1.3537034451844383E-4</v>
      </c>
    </row>
    <row r="996" spans="1:5" x14ac:dyDescent="0.35">
      <c r="A996" s="1">
        <v>45631</v>
      </c>
      <c r="B996">
        <v>2626.60009765625</v>
      </c>
      <c r="C996">
        <v>1.1315416981270148</v>
      </c>
      <c r="D996" s="2">
        <v>-1.0302322170881693E-2</v>
      </c>
      <c r="E996" s="2">
        <v>2.9940568572896092E-3</v>
      </c>
    </row>
    <row r="997" spans="1:5" x14ac:dyDescent="0.35">
      <c r="A997" s="1">
        <v>45632</v>
      </c>
      <c r="B997">
        <v>2638.60009765625</v>
      </c>
      <c r="C997">
        <v>1.1384076015362774</v>
      </c>
      <c r="D997" s="2">
        <v>4.5582391295282557E-3</v>
      </c>
      <c r="E997" s="2">
        <v>6.0494076661567198E-3</v>
      </c>
    </row>
    <row r="998" spans="1:5" x14ac:dyDescent="0.35">
      <c r="A998" s="1">
        <v>45635</v>
      </c>
      <c r="B998">
        <v>2664.89990234375</v>
      </c>
      <c r="C998">
        <v>1.1380837242216535</v>
      </c>
      <c r="D998" s="2">
        <v>9.9179863380868399E-3</v>
      </c>
      <c r="E998" s="2">
        <v>-2.8454078708271043E-4</v>
      </c>
    </row>
    <row r="999" spans="1:5" x14ac:dyDescent="0.35">
      <c r="A999" s="1">
        <v>45636</v>
      </c>
      <c r="B999">
        <v>2697.60009765625</v>
      </c>
      <c r="C999">
        <v>1.1381873387328638</v>
      </c>
      <c r="D999" s="2">
        <v>1.2196028210303023E-2</v>
      </c>
      <c r="E999" s="2">
        <v>9.1038816042687476E-5</v>
      </c>
    </row>
    <row r="1000" spans="1:5" x14ac:dyDescent="0.35">
      <c r="A1000" s="1">
        <v>45637</v>
      </c>
      <c r="B1000">
        <v>2733.800048828125</v>
      </c>
      <c r="C1000">
        <v>1.133144485104681</v>
      </c>
      <c r="D1000" s="2">
        <v>1.3330075570755336E-2</v>
      </c>
      <c r="E1000" s="2">
        <v>-4.4404449066540929E-3</v>
      </c>
    </row>
    <row r="1001" spans="1:5" x14ac:dyDescent="0.35">
      <c r="A1001" s="1">
        <v>45638</v>
      </c>
      <c r="B1001">
        <v>2687.5</v>
      </c>
      <c r="C1001">
        <v>1.1322335528102847</v>
      </c>
      <c r="D1001" s="2">
        <v>-1.7081207143532985E-2</v>
      </c>
      <c r="E1001" s="2">
        <v>-8.0422104235796765E-4</v>
      </c>
    </row>
    <row r="1002" spans="1:5" x14ac:dyDescent="0.35">
      <c r="A1002" s="1">
        <v>45639</v>
      </c>
      <c r="B1002">
        <v>2656</v>
      </c>
      <c r="C1002">
        <v>1.1210636984776396</v>
      </c>
      <c r="D1002" s="2">
        <v>-1.1790161839593786E-2</v>
      </c>
      <c r="E1002" s="2">
        <v>-9.9143118555333476E-3</v>
      </c>
    </row>
    <row r="1003" spans="1:5" x14ac:dyDescent="0.35">
      <c r="A1003" s="1">
        <v>45642</v>
      </c>
      <c r="B1003">
        <v>2651.39990234375</v>
      </c>
      <c r="C1003">
        <v>1.1213980472672183</v>
      </c>
      <c r="D1003" s="2">
        <v>-1.7334660635325901E-3</v>
      </c>
      <c r="E1003" s="2">
        <v>2.9819798950028216E-4</v>
      </c>
    </row>
    <row r="1004" spans="1:5" x14ac:dyDescent="0.35">
      <c r="A1004" s="1">
        <v>45643</v>
      </c>
      <c r="B1004">
        <v>2644.39990234375</v>
      </c>
      <c r="C1004">
        <v>1.1185182014709556</v>
      </c>
      <c r="D1004" s="2">
        <v>-2.6436060028242501E-3</v>
      </c>
      <c r="E1004" s="2">
        <v>-2.571388447839561E-3</v>
      </c>
    </row>
    <row r="1005" spans="1:5" x14ac:dyDescent="0.35">
      <c r="A1005" s="1">
        <v>45644</v>
      </c>
      <c r="B1005">
        <v>2636.5</v>
      </c>
      <c r="C1005">
        <v>1.120473268137415</v>
      </c>
      <c r="D1005" s="2">
        <v>-2.9918795594432402E-3</v>
      </c>
      <c r="E1005" s="2">
        <v>1.7463819669574067E-3</v>
      </c>
    </row>
    <row r="1006" spans="1:5" x14ac:dyDescent="0.35">
      <c r="A1006" s="1">
        <v>45645</v>
      </c>
      <c r="B1006">
        <v>2592.199951171875</v>
      </c>
      <c r="C1006">
        <v>1.1090162781424875</v>
      </c>
      <c r="D1006" s="2">
        <v>-1.6945362817807692E-2</v>
      </c>
      <c r="E1006" s="2">
        <v>-1.0277770412936151E-2</v>
      </c>
    </row>
    <row r="1007" spans="1:5" x14ac:dyDescent="0.35">
      <c r="A1007" s="1">
        <v>45646</v>
      </c>
      <c r="B1007">
        <v>2628.699951171875</v>
      </c>
      <c r="C1007">
        <v>1.1123594559513781</v>
      </c>
      <c r="D1007" s="2">
        <v>1.398249166131256E-2</v>
      </c>
      <c r="E1007" s="2">
        <v>3.010008871278092E-3</v>
      </c>
    </row>
    <row r="1008" spans="1:5" x14ac:dyDescent="0.35">
      <c r="A1008" s="1">
        <v>45649</v>
      </c>
      <c r="B1008">
        <v>2612.300048828125</v>
      </c>
      <c r="C1008">
        <v>1.1197581134698085</v>
      </c>
      <c r="D1008" s="2">
        <v>-6.2583308037495577E-3</v>
      </c>
      <c r="E1008" s="2">
        <v>6.6292965172218953E-3</v>
      </c>
    </row>
    <row r="1009" spans="1:5" x14ac:dyDescent="0.35">
      <c r="A1009" s="1">
        <v>45650</v>
      </c>
      <c r="B1009">
        <v>2620</v>
      </c>
      <c r="C1009">
        <v>1.1130032357414259</v>
      </c>
      <c r="D1009" s="2">
        <v>2.9432397448627299E-3</v>
      </c>
      <c r="E1009" s="2">
        <v>-6.0507123516741704E-3</v>
      </c>
    </row>
    <row r="1010" spans="1:5" x14ac:dyDescent="0.35">
      <c r="A1010" s="1">
        <v>45652</v>
      </c>
      <c r="B1010">
        <v>2638.800048828125</v>
      </c>
      <c r="C1010">
        <v>1.1118275938576641</v>
      </c>
      <c r="D1010" s="2">
        <v>7.1499690974858952E-3</v>
      </c>
      <c r="E1010" s="2">
        <v>-1.0568372008733895E-3</v>
      </c>
    </row>
    <row r="1011" spans="1:5" x14ac:dyDescent="0.35">
      <c r="A1011" s="1">
        <v>45653</v>
      </c>
      <c r="B1011">
        <v>2617.199951171875</v>
      </c>
      <c r="C1011">
        <v>1.1124708317510486</v>
      </c>
      <c r="D1011" s="2">
        <v>-8.219261513672152E-3</v>
      </c>
      <c r="E1011" s="2">
        <v>5.7837375049124139E-4</v>
      </c>
    </row>
    <row r="1012" spans="1:5" x14ac:dyDescent="0.35">
      <c r="A1012" s="1">
        <v>45656</v>
      </c>
      <c r="B1012">
        <v>2606.10009765625</v>
      </c>
      <c r="C1012">
        <v>1.1088441758572365</v>
      </c>
      <c r="D1012" s="2">
        <v>-4.2501369327917057E-3</v>
      </c>
      <c r="E1012" s="2">
        <v>-3.2653262628496694E-3</v>
      </c>
    </row>
    <row r="1013" spans="1:5" x14ac:dyDescent="0.35">
      <c r="A1013" s="1">
        <v>45657</v>
      </c>
      <c r="B1013">
        <v>2629.199951171875</v>
      </c>
      <c r="C1013">
        <v>1.1071254287605932</v>
      </c>
      <c r="D1013" s="2">
        <v>8.8247104117804686E-3</v>
      </c>
      <c r="E1013" s="2">
        <v>-1.5512373795369193E-3</v>
      </c>
    </row>
    <row r="1014" spans="1:5" x14ac:dyDescent="0.35">
      <c r="A1014" s="1">
        <v>45659</v>
      </c>
      <c r="B1014">
        <v>2658.89990234375</v>
      </c>
      <c r="C1014">
        <v>1.1016248839917324</v>
      </c>
      <c r="D1014" s="2">
        <v>1.1232867866452192E-2</v>
      </c>
      <c r="E1014" s="2">
        <v>-4.9806952902269469E-3</v>
      </c>
    </row>
    <row r="1015" spans="1:5" x14ac:dyDescent="0.35">
      <c r="A1015" s="1">
        <v>45660</v>
      </c>
      <c r="B1015">
        <v>2645</v>
      </c>
      <c r="C1015">
        <v>1.0964791883714184</v>
      </c>
      <c r="D1015" s="2">
        <v>-5.2414013919973483E-3</v>
      </c>
      <c r="E1015" s="2">
        <v>-4.6819484889305653E-3</v>
      </c>
    </row>
    <row r="1016" spans="1:5" x14ac:dyDescent="0.35">
      <c r="A1016" s="1">
        <v>45663</v>
      </c>
      <c r="B1016">
        <v>2638.39990234375</v>
      </c>
      <c r="C1016">
        <v>1.0997349841272339</v>
      </c>
      <c r="D1016" s="2">
        <v>-2.4984295005021796E-3</v>
      </c>
      <c r="E1016" s="2">
        <v>2.9649186146384712E-3</v>
      </c>
    </row>
    <row r="1017" spans="1:5" x14ac:dyDescent="0.35">
      <c r="A1017" s="1">
        <v>45664</v>
      </c>
      <c r="B1017">
        <v>2656.699951171875</v>
      </c>
      <c r="C1017">
        <v>1.10492350790158</v>
      </c>
      <c r="D1017" s="2">
        <v>6.9120969177432941E-3</v>
      </c>
      <c r="E1017" s="2">
        <v>4.7068816982765282E-3</v>
      </c>
    </row>
    <row r="1018" spans="1:5" x14ac:dyDescent="0.35">
      <c r="A1018" s="1">
        <v>45665</v>
      </c>
      <c r="B1018">
        <v>2664.5</v>
      </c>
      <c r="C1018">
        <v>1.0995656781320327</v>
      </c>
      <c r="D1018" s="2">
        <v>2.9316900271960217E-3</v>
      </c>
      <c r="E1018" s="2">
        <v>-4.8608451817064935E-3</v>
      </c>
    </row>
    <row r="1019" spans="1:5" x14ac:dyDescent="0.35">
      <c r="A1019" s="1">
        <v>45666</v>
      </c>
      <c r="B1019">
        <v>2683.800048828125</v>
      </c>
      <c r="C1019">
        <v>1.097755084748258</v>
      </c>
      <c r="D1019" s="2">
        <v>7.2172961236729553E-3</v>
      </c>
      <c r="E1019" s="2">
        <v>-1.6480013515961529E-3</v>
      </c>
    </row>
    <row r="1020" spans="1:5" x14ac:dyDescent="0.35">
      <c r="A1020" s="1">
        <v>45667</v>
      </c>
      <c r="B1020">
        <v>2708.5</v>
      </c>
      <c r="C1020">
        <v>1.0964071024725861</v>
      </c>
      <c r="D1020" s="2">
        <v>9.1612572374435413E-3</v>
      </c>
      <c r="E1020" s="2">
        <v>-1.2286990023894061E-3</v>
      </c>
    </row>
    <row r="1021" spans="1:5" x14ac:dyDescent="0.35">
      <c r="A1021" s="1">
        <v>45670</v>
      </c>
      <c r="B1021">
        <v>2673.5</v>
      </c>
      <c r="C1021">
        <v>1.0907861517128314</v>
      </c>
      <c r="D1021" s="2">
        <v>-1.3006500709167285E-2</v>
      </c>
      <c r="E1021" s="2">
        <v>-5.1398870435628349E-3</v>
      </c>
    </row>
    <row r="1022" spans="1:5" x14ac:dyDescent="0.35">
      <c r="A1022" s="1">
        <v>45671</v>
      </c>
      <c r="B1022">
        <v>2677.5</v>
      </c>
      <c r="C1022">
        <v>1.0919653098340893</v>
      </c>
      <c r="D1022" s="2">
        <v>1.495047933117684E-3</v>
      </c>
      <c r="E1022" s="2">
        <v>1.080432890997293E-3</v>
      </c>
    </row>
    <row r="1023" spans="1:5" x14ac:dyDescent="0.35">
      <c r="A1023" s="1">
        <v>45672</v>
      </c>
      <c r="B1023">
        <v>2712.5</v>
      </c>
      <c r="C1023">
        <v>1.0959384171147881</v>
      </c>
      <c r="D1023" s="2">
        <v>1.2987195526811112E-2</v>
      </c>
      <c r="E1023" s="2">
        <v>3.6318889163829138E-3</v>
      </c>
    </row>
    <row r="1024" spans="1:5" x14ac:dyDescent="0.35">
      <c r="A1024" s="1">
        <v>45673</v>
      </c>
      <c r="B1024">
        <v>2746.39990234375</v>
      </c>
      <c r="C1024">
        <v>1.0963469903679279</v>
      </c>
      <c r="D1024" s="2">
        <v>1.2420208736854522E-2</v>
      </c>
      <c r="E1024" s="2">
        <v>3.7273728728537099E-4</v>
      </c>
    </row>
    <row r="1025" spans="1:5" x14ac:dyDescent="0.35">
      <c r="A1025" s="1">
        <v>45674</v>
      </c>
      <c r="B1025">
        <v>2744.300048828125</v>
      </c>
      <c r="C1025">
        <v>1.0974900332938746</v>
      </c>
      <c r="D1025" s="2">
        <v>-7.6487647719702099E-4</v>
      </c>
      <c r="E1025" s="2">
        <v>1.0420491741646597E-3</v>
      </c>
    </row>
    <row r="1026" spans="1:5" x14ac:dyDescent="0.35">
      <c r="A1026" s="1">
        <v>45678</v>
      </c>
      <c r="B1026">
        <v>2755</v>
      </c>
      <c r="C1026">
        <v>1.1036796918972784</v>
      </c>
      <c r="D1026" s="2">
        <v>3.8913914786424851E-3</v>
      </c>
      <c r="E1026" s="2">
        <v>5.6239869620855259E-3</v>
      </c>
    </row>
    <row r="1027" spans="1:5" x14ac:dyDescent="0.35">
      <c r="A1027" s="1">
        <v>45679</v>
      </c>
      <c r="B1027">
        <v>2767.60009765625</v>
      </c>
      <c r="C1027">
        <v>1.1028884300427226</v>
      </c>
      <c r="D1027" s="2">
        <v>4.5631113231767526E-3</v>
      </c>
      <c r="E1027" s="2">
        <v>-7.1718781813644996E-4</v>
      </c>
    </row>
    <row r="1028" spans="1:5" x14ac:dyDescent="0.35">
      <c r="A1028" s="1">
        <v>45680</v>
      </c>
      <c r="B1028">
        <v>2763.10009765625</v>
      </c>
      <c r="C1028">
        <v>1.1033751981784843</v>
      </c>
      <c r="D1028" s="2">
        <v>-1.6272807543716752E-3</v>
      </c>
      <c r="E1028" s="2">
        <v>4.4126018072669035E-4</v>
      </c>
    </row>
    <row r="1029" spans="1:5" x14ac:dyDescent="0.35">
      <c r="A1029" s="1">
        <v>45681</v>
      </c>
      <c r="B1029">
        <v>2777.300048828125</v>
      </c>
      <c r="C1029">
        <v>1.10194049900047</v>
      </c>
      <c r="D1029" s="2">
        <v>5.1259771457510843E-3</v>
      </c>
      <c r="E1029" s="2">
        <v>-1.3011283438955836E-3</v>
      </c>
    </row>
    <row r="1030" spans="1:5" x14ac:dyDescent="0.35">
      <c r="A1030" s="1">
        <v>45684</v>
      </c>
      <c r="B1030">
        <v>2737.5</v>
      </c>
      <c r="C1030">
        <v>1.1027303282954908</v>
      </c>
      <c r="D1030" s="2">
        <v>-1.4434155176814617E-2</v>
      </c>
      <c r="E1030" s="2">
        <v>7.165054474638548E-4</v>
      </c>
    </row>
    <row r="1031" spans="1:5" x14ac:dyDescent="0.35">
      <c r="A1031" s="1">
        <v>45685</v>
      </c>
      <c r="B1031">
        <v>2766.800048828125</v>
      </c>
      <c r="C1031">
        <v>1.1061824563712341</v>
      </c>
      <c r="D1031" s="2">
        <v>1.0646340249542608E-2</v>
      </c>
      <c r="E1031" s="2">
        <v>3.1256380154095469E-3</v>
      </c>
    </row>
    <row r="1032" spans="1:5" x14ac:dyDescent="0.35">
      <c r="A1032" s="1">
        <v>45686</v>
      </c>
      <c r="B1032">
        <v>2769.10009765625</v>
      </c>
      <c r="C1032">
        <v>1.1060356584944449</v>
      </c>
      <c r="D1032" s="2">
        <v>8.3095753160667405E-4</v>
      </c>
      <c r="E1032" s="2">
        <v>-1.3271555459955396E-4</v>
      </c>
    </row>
    <row r="1033" spans="1:5" x14ac:dyDescent="0.35">
      <c r="A1033" s="1">
        <v>45687</v>
      </c>
      <c r="B1033">
        <v>2823</v>
      </c>
      <c r="C1033">
        <v>1.1034238913682413</v>
      </c>
      <c r="D1033" s="2">
        <v>1.9277756347583747E-2</v>
      </c>
      <c r="E1033" s="2">
        <v>-2.3641694122538059E-3</v>
      </c>
    </row>
    <row r="1034" spans="1:5" x14ac:dyDescent="0.35">
      <c r="A1034" s="1">
        <v>45688</v>
      </c>
      <c r="B1034">
        <v>2812.5</v>
      </c>
      <c r="C1034">
        <v>1.0996636227540986</v>
      </c>
      <c r="D1034" s="2">
        <v>-3.7263817408137866E-3</v>
      </c>
      <c r="E1034" s="2">
        <v>-3.4136385790844662E-3</v>
      </c>
    </row>
    <row r="1035" spans="1:5" x14ac:dyDescent="0.35">
      <c r="A1035" s="1">
        <v>45691</v>
      </c>
      <c r="B1035">
        <v>2833.89990234375</v>
      </c>
      <c r="C1035">
        <v>1.0926215552694818</v>
      </c>
      <c r="D1035" s="2">
        <v>7.5800528402683734E-3</v>
      </c>
      <c r="E1035" s="2">
        <v>-6.424430339607665E-3</v>
      </c>
    </row>
    <row r="1036" spans="1:5" x14ac:dyDescent="0.35">
      <c r="A1036" s="1">
        <v>45692</v>
      </c>
      <c r="B1036">
        <v>2853.300048828125</v>
      </c>
      <c r="C1036">
        <v>1.096960314177629</v>
      </c>
      <c r="D1036" s="2">
        <v>6.8224159163659407E-3</v>
      </c>
      <c r="E1036" s="2">
        <v>3.9630987518255245E-3</v>
      </c>
    </row>
    <row r="1037" spans="1:5" x14ac:dyDescent="0.35">
      <c r="A1037" s="1">
        <v>45693</v>
      </c>
      <c r="B1037">
        <v>2871.60009765625</v>
      </c>
      <c r="C1037">
        <v>1.1046794228929271</v>
      </c>
      <c r="D1037" s="2">
        <v>6.393163440626415E-3</v>
      </c>
      <c r="E1037" s="2">
        <v>7.0121738945044558E-3</v>
      </c>
    </row>
    <row r="1038" spans="1:5" x14ac:dyDescent="0.35">
      <c r="A1038" s="1">
        <v>45694</v>
      </c>
      <c r="B1038">
        <v>2856</v>
      </c>
      <c r="C1038">
        <v>1.1094715658339267</v>
      </c>
      <c r="D1038" s="2">
        <v>-5.4473552504613887E-3</v>
      </c>
      <c r="E1038" s="2">
        <v>4.3286573029909072E-3</v>
      </c>
    </row>
    <row r="1039" spans="1:5" x14ac:dyDescent="0.35">
      <c r="A1039" s="1">
        <v>45695</v>
      </c>
      <c r="B1039">
        <v>2867.300048828125</v>
      </c>
      <c r="C1039">
        <v>1.1048503074535507</v>
      </c>
      <c r="D1039" s="2">
        <v>3.9487929743871704E-3</v>
      </c>
      <c r="E1039" s="2">
        <v>-4.1739777269550089E-3</v>
      </c>
    </row>
    <row r="1040" spans="1:5" x14ac:dyDescent="0.35">
      <c r="A1040" s="1">
        <v>45698</v>
      </c>
      <c r="B1040">
        <v>2914.300048828125</v>
      </c>
      <c r="C1040">
        <v>1.0980081915317348</v>
      </c>
      <c r="D1040" s="2">
        <v>1.6258833046568513E-2</v>
      </c>
      <c r="E1040" s="2">
        <v>-6.2120539542944268E-3</v>
      </c>
    </row>
    <row r="1041" spans="1:5" x14ac:dyDescent="0.35">
      <c r="A1041" s="1">
        <v>45699</v>
      </c>
      <c r="B1041">
        <v>2912.5</v>
      </c>
      <c r="C1041">
        <v>1.0972973750750512</v>
      </c>
      <c r="D1041" s="2">
        <v>-6.1785160647469034E-4</v>
      </c>
      <c r="E1041" s="2">
        <v>-6.4757862626189401E-4</v>
      </c>
    </row>
    <row r="1042" spans="1:5" x14ac:dyDescent="0.35">
      <c r="A1042" s="1">
        <v>45700</v>
      </c>
      <c r="B1042">
        <v>2909</v>
      </c>
      <c r="C1042">
        <v>1.0953022798210927</v>
      </c>
      <c r="D1042" s="2">
        <v>-1.2024393787544148E-3</v>
      </c>
      <c r="E1042" s="2">
        <v>-1.8198450411339763E-3</v>
      </c>
    </row>
    <row r="1043" spans="1:5" x14ac:dyDescent="0.35">
      <c r="A1043" s="1">
        <v>45701</v>
      </c>
      <c r="B1043">
        <v>2925.89990234375</v>
      </c>
      <c r="C1043">
        <v>1.0948106045107808</v>
      </c>
      <c r="D1043" s="2">
        <v>5.7927127743943657E-3</v>
      </c>
      <c r="E1043" s="2">
        <v>-4.4899541214468719E-4</v>
      </c>
    </row>
    <row r="1044" spans="1:5" x14ac:dyDescent="0.35">
      <c r="A1044" s="1">
        <v>45702</v>
      </c>
      <c r="B1044">
        <v>2883.60009765625</v>
      </c>
      <c r="C1044">
        <v>1.1071132280411402</v>
      </c>
      <c r="D1044" s="2">
        <v>-1.4562544873085503E-2</v>
      </c>
      <c r="E1044" s="2">
        <v>1.1174547791161414E-2</v>
      </c>
    </row>
    <row r="1045" spans="1:5" x14ac:dyDescent="0.35">
      <c r="A1045" s="1">
        <v>45706</v>
      </c>
      <c r="B1045">
        <v>2931.60009765625</v>
      </c>
      <c r="C1045">
        <v>1.1102229324357609</v>
      </c>
      <c r="D1045" s="2">
        <v>1.6508834966771479E-2</v>
      </c>
      <c r="E1045" s="2">
        <v>2.804903008253336E-3</v>
      </c>
    </row>
    <row r="1046" spans="1:5" x14ac:dyDescent="0.35">
      <c r="A1046" s="1">
        <v>45707</v>
      </c>
      <c r="B1046">
        <v>2919.39990234375</v>
      </c>
      <c r="C1046">
        <v>1.1066844011817498</v>
      </c>
      <c r="D1046" s="2">
        <v>-4.1703001175996731E-3</v>
      </c>
      <c r="E1046" s="2">
        <v>-3.1923158946827656E-3</v>
      </c>
    </row>
    <row r="1047" spans="1:5" x14ac:dyDescent="0.35">
      <c r="A1047" s="1">
        <v>45708</v>
      </c>
      <c r="B1047">
        <v>2940</v>
      </c>
      <c r="C1047">
        <v>1.1055098250863089</v>
      </c>
      <c r="D1047" s="2">
        <v>7.0314990870447855E-3</v>
      </c>
      <c r="E1047" s="2">
        <v>-1.0619105608992302E-3</v>
      </c>
    </row>
    <row r="1048" spans="1:5" x14ac:dyDescent="0.35">
      <c r="A1048" s="1">
        <v>45709</v>
      </c>
      <c r="B1048">
        <v>2937.60009765625</v>
      </c>
      <c r="C1048">
        <v>1.1135113171898727</v>
      </c>
      <c r="D1048" s="2">
        <v>-8.1662666300731808E-4</v>
      </c>
      <c r="E1048" s="2">
        <v>7.2117625475219454E-3</v>
      </c>
    </row>
    <row r="1049" spans="1:5" x14ac:dyDescent="0.35">
      <c r="A1049" s="1">
        <v>45712</v>
      </c>
      <c r="B1049">
        <v>2947.89990234375</v>
      </c>
      <c r="C1049">
        <v>1.1130279716243552</v>
      </c>
      <c r="D1049" s="2">
        <v>3.5000646341924579E-3</v>
      </c>
      <c r="E1049" s="2">
        <v>-4.3416756716430815E-4</v>
      </c>
    </row>
    <row r="1050" spans="1:5" x14ac:dyDescent="0.35">
      <c r="A1050" s="1">
        <v>45713</v>
      </c>
      <c r="B1050">
        <v>2904.5</v>
      </c>
      <c r="C1050">
        <v>1.1144544683754616</v>
      </c>
      <c r="D1050" s="2">
        <v>-1.4831760871325241E-2</v>
      </c>
      <c r="E1050" s="2">
        <v>1.280815435850719E-3</v>
      </c>
    </row>
    <row r="1051" spans="1:5" x14ac:dyDescent="0.35">
      <c r="A1051" s="1">
        <v>45714</v>
      </c>
      <c r="B1051">
        <v>2916.800048828125</v>
      </c>
      <c r="C1051">
        <v>1.1205737007002676</v>
      </c>
      <c r="D1051" s="2">
        <v>4.2258832321174136E-3</v>
      </c>
      <c r="E1051" s="2">
        <v>5.4757677772513452E-3</v>
      </c>
    </row>
    <row r="1052" spans="1:5" x14ac:dyDescent="0.35">
      <c r="A1052" s="1">
        <v>45715</v>
      </c>
      <c r="B1052">
        <v>2883.199951171875</v>
      </c>
      <c r="C1052">
        <v>1.1181930201446775</v>
      </c>
      <c r="D1052" s="2">
        <v>-1.1586370186078948E-2</v>
      </c>
      <c r="E1052" s="2">
        <v>-2.1267793832915058E-3</v>
      </c>
    </row>
    <row r="1053" spans="1:5" x14ac:dyDescent="0.35">
      <c r="A1053" s="1">
        <v>45716</v>
      </c>
      <c r="B1053">
        <v>2836.800048828125</v>
      </c>
      <c r="C1053">
        <v>1.1112099017151238</v>
      </c>
      <c r="D1053" s="2">
        <v>-1.6224097946286358E-2</v>
      </c>
      <c r="E1053" s="2">
        <v>-6.2645842963457926E-3</v>
      </c>
    </row>
    <row r="1054" spans="1:5" x14ac:dyDescent="0.35">
      <c r="A1054" s="1">
        <v>45719</v>
      </c>
      <c r="B1054">
        <v>2890.199951171875</v>
      </c>
      <c r="C1054">
        <v>1.1079472946939406</v>
      </c>
      <c r="D1054" s="2">
        <v>1.864901343751476E-2</v>
      </c>
      <c r="E1054" s="2">
        <v>-2.9404040210977583E-3</v>
      </c>
    </row>
    <row r="1055" spans="1:5" x14ac:dyDescent="0.35">
      <c r="A1055" s="1">
        <v>45720</v>
      </c>
      <c r="B1055">
        <v>2909.60009765625</v>
      </c>
      <c r="C1055">
        <v>1.1153245494816935</v>
      </c>
      <c r="D1055" s="2">
        <v>6.6899612663868704E-3</v>
      </c>
      <c r="E1055" s="2">
        <v>6.6364190981412982E-3</v>
      </c>
    </row>
    <row r="1056" spans="1:5" x14ac:dyDescent="0.35">
      <c r="A1056" s="1">
        <v>45721</v>
      </c>
      <c r="B1056">
        <v>2915.300048828125</v>
      </c>
      <c r="C1056">
        <v>1.1240502109049355</v>
      </c>
      <c r="D1056" s="2">
        <v>1.9570989537602982E-3</v>
      </c>
      <c r="E1056" s="2">
        <v>7.7929837712759041E-3</v>
      </c>
    </row>
    <row r="1057" spans="1:5" x14ac:dyDescent="0.35">
      <c r="A1057" s="1">
        <v>45722</v>
      </c>
      <c r="B1057">
        <v>2916.60009765625</v>
      </c>
      <c r="C1057">
        <v>1.1227250421744221</v>
      </c>
      <c r="D1057" s="2">
        <v>4.4584057237097519E-4</v>
      </c>
      <c r="E1057" s="2">
        <v>-1.1796185509534327E-3</v>
      </c>
    </row>
    <row r="1058" spans="1:5" x14ac:dyDescent="0.35">
      <c r="A1058" s="1">
        <v>45723</v>
      </c>
      <c r="B1058">
        <v>2904.699951171875</v>
      </c>
      <c r="C1058">
        <v>1.1320925932798682</v>
      </c>
      <c r="D1058" s="2">
        <v>-4.0884898428904092E-3</v>
      </c>
      <c r="E1058" s="2">
        <v>8.3089690730881894E-3</v>
      </c>
    </row>
    <row r="1059" spans="1:5" x14ac:dyDescent="0.35">
      <c r="A1059" s="1">
        <v>45726</v>
      </c>
      <c r="B1059">
        <v>2891</v>
      </c>
      <c r="C1059">
        <v>1.1398089436586181</v>
      </c>
      <c r="D1059" s="2">
        <v>-4.7276349031359147E-3</v>
      </c>
      <c r="E1059" s="2">
        <v>6.7928824596717383E-3</v>
      </c>
    </row>
    <row r="1060" spans="1:5" x14ac:dyDescent="0.35">
      <c r="A1060" s="1">
        <v>45727</v>
      </c>
      <c r="B1060">
        <v>2912.89990234375</v>
      </c>
      <c r="C1060">
        <v>1.1363894276571151</v>
      </c>
      <c r="D1060" s="2">
        <v>7.5466519578201406E-3</v>
      </c>
      <c r="E1060" s="2">
        <v>-3.0045874885784806E-3</v>
      </c>
    </row>
    <row r="1061" spans="1:5" x14ac:dyDescent="0.35">
      <c r="A1061" s="1">
        <v>45728</v>
      </c>
      <c r="B1061">
        <v>2939.10009765625</v>
      </c>
      <c r="C1061">
        <v>1.1319387620715191</v>
      </c>
      <c r="D1061" s="2">
        <v>8.9543302711225983E-3</v>
      </c>
      <c r="E1061" s="2">
        <v>-3.9241863828639529E-3</v>
      </c>
    </row>
    <row r="1062" spans="1:5" x14ac:dyDescent="0.35">
      <c r="A1062" s="1">
        <v>45729</v>
      </c>
      <c r="B1062">
        <v>2984.300048828125</v>
      </c>
      <c r="C1062">
        <v>1.1340825649065822</v>
      </c>
      <c r="D1062" s="2">
        <v>1.5261784579635519E-2</v>
      </c>
      <c r="E1062" s="2">
        <v>1.8921300070178133E-3</v>
      </c>
    </row>
    <row r="1063" spans="1:5" x14ac:dyDescent="0.35">
      <c r="A1063" s="1">
        <v>45730</v>
      </c>
      <c r="B1063">
        <v>2994.5</v>
      </c>
      <c r="C1063">
        <v>1.1329904444288073</v>
      </c>
      <c r="D1063" s="2">
        <v>3.4120428795928219E-3</v>
      </c>
      <c r="E1063" s="2">
        <v>-9.6346307133371792E-4</v>
      </c>
    </row>
    <row r="1064" spans="1:5" x14ac:dyDescent="0.35">
      <c r="A1064" s="1">
        <v>45733</v>
      </c>
      <c r="B1064">
        <v>3000</v>
      </c>
      <c r="C1064">
        <v>1.1311065534230786</v>
      </c>
      <c r="D1064" s="2">
        <v>1.8350159457296321E-3</v>
      </c>
      <c r="E1064" s="2">
        <v>-1.6641437555745908E-3</v>
      </c>
    </row>
    <row r="1065" spans="1:5" x14ac:dyDescent="0.35">
      <c r="A1065" s="1">
        <v>45734</v>
      </c>
      <c r="B1065">
        <v>3035.10009765625</v>
      </c>
      <c r="C1065">
        <v>1.1348136067114192</v>
      </c>
      <c r="D1065" s="2">
        <v>1.1632116405335577E-2</v>
      </c>
      <c r="E1065" s="2">
        <v>3.2720098976871791E-3</v>
      </c>
    </row>
    <row r="1066" spans="1:5" x14ac:dyDescent="0.35">
      <c r="A1066" s="1">
        <v>45735</v>
      </c>
      <c r="B1066">
        <v>3035.89990234375</v>
      </c>
      <c r="C1066">
        <v>1.1405825142392521</v>
      </c>
      <c r="D1066" s="2">
        <v>2.6348367390129166E-4</v>
      </c>
      <c r="E1066" s="2">
        <v>5.0706950192373999E-3</v>
      </c>
    </row>
    <row r="1067" spans="1:5" x14ac:dyDescent="0.35">
      <c r="A1067" s="1">
        <v>45736</v>
      </c>
      <c r="B1067">
        <v>3040</v>
      </c>
      <c r="C1067">
        <v>1.1410315004156819</v>
      </c>
      <c r="D1067" s="2">
        <v>1.3496266707838649E-3</v>
      </c>
      <c r="E1067" s="2">
        <v>3.9356892037097308E-4</v>
      </c>
    </row>
    <row r="1068" spans="1:5" x14ac:dyDescent="0.35">
      <c r="A1068" s="1">
        <v>45737</v>
      </c>
      <c r="B1068">
        <v>3018.199951171875</v>
      </c>
      <c r="C1068">
        <v>1.1345882871041504</v>
      </c>
      <c r="D1068" s="2">
        <v>-7.1969043937131737E-3</v>
      </c>
      <c r="E1068" s="2">
        <v>-5.6628357383040348E-3</v>
      </c>
    </row>
    <row r="1069" spans="1:5" x14ac:dyDescent="0.35">
      <c r="A1069" s="1">
        <v>45740</v>
      </c>
      <c r="B1069">
        <v>3013.10009765625</v>
      </c>
      <c r="C1069">
        <v>1.1326054112147892</v>
      </c>
      <c r="D1069" s="2">
        <v>-1.6911295043418105E-3</v>
      </c>
      <c r="E1069" s="2">
        <v>-1.7491901079378866E-3</v>
      </c>
    </row>
    <row r="1070" spans="1:5" x14ac:dyDescent="0.35">
      <c r="A1070" s="1">
        <v>45741</v>
      </c>
      <c r="B1070">
        <v>3023.699951171875</v>
      </c>
      <c r="C1070">
        <v>1.1329005493318594</v>
      </c>
      <c r="D1070" s="2">
        <v>3.5117493782604987E-3</v>
      </c>
      <c r="E1070" s="2">
        <v>2.6054940828186036E-4</v>
      </c>
    </row>
    <row r="1071" spans="1:5" x14ac:dyDescent="0.35">
      <c r="A1071" s="1">
        <v>45742</v>
      </c>
      <c r="B1071">
        <v>3020.89990234375</v>
      </c>
      <c r="C1071">
        <v>1.1329518834230008</v>
      </c>
      <c r="D1071" s="2">
        <v>-9.2646299052465142E-4</v>
      </c>
      <c r="E1071" s="2">
        <v>4.5311062987224066E-5</v>
      </c>
    </row>
    <row r="1072" spans="1:5" x14ac:dyDescent="0.35">
      <c r="A1072" s="1">
        <v>45743</v>
      </c>
      <c r="B1072">
        <v>3060.199951171875</v>
      </c>
      <c r="C1072">
        <v>1.131017033259913</v>
      </c>
      <c r="D1072" s="2">
        <v>1.2925489441903849E-2</v>
      </c>
      <c r="E1072" s="2">
        <v>-1.7092554759866711E-3</v>
      </c>
    </row>
    <row r="1073" spans="1:5" x14ac:dyDescent="0.35">
      <c r="A1073" s="1">
        <v>45744</v>
      </c>
      <c r="B1073">
        <v>3086.5</v>
      </c>
      <c r="C1073">
        <v>1.1345586706770976</v>
      </c>
      <c r="D1073" s="2">
        <v>8.5575055020983091E-3</v>
      </c>
      <c r="E1073" s="2">
        <v>3.1264815348744529E-3</v>
      </c>
    </row>
    <row r="1074" spans="1:5" x14ac:dyDescent="0.35">
      <c r="A1074" s="1">
        <v>45747</v>
      </c>
      <c r="B1074">
        <v>3122.800048828125</v>
      </c>
      <c r="C1074">
        <v>1.1352670495772459</v>
      </c>
      <c r="D1074" s="2">
        <v>1.169228804819296E-2</v>
      </c>
      <c r="E1074" s="2">
        <v>6.2417032006057522E-4</v>
      </c>
    </row>
    <row r="1075" spans="1:5" x14ac:dyDescent="0.35">
      <c r="A1075" s="1">
        <v>45748</v>
      </c>
      <c r="B1075">
        <v>3118.89990234375</v>
      </c>
      <c r="C1075">
        <v>1.1314521090752458</v>
      </c>
      <c r="D1075" s="2">
        <v>-1.2497066576345498E-3</v>
      </c>
      <c r="E1075" s="2">
        <v>-3.3660491988767288E-3</v>
      </c>
    </row>
    <row r="1076" spans="1:5" x14ac:dyDescent="0.35">
      <c r="A1076" s="1">
        <v>45749</v>
      </c>
      <c r="B1076">
        <v>3139.89990234375</v>
      </c>
      <c r="C1076">
        <v>1.1319900090365065</v>
      </c>
      <c r="D1076" s="2">
        <v>6.7105769351938818E-3</v>
      </c>
      <c r="E1076" s="2">
        <v>4.752937723324448E-4</v>
      </c>
    </row>
    <row r="1077" spans="1:5" x14ac:dyDescent="0.35">
      <c r="A1077" s="1">
        <v>45750</v>
      </c>
      <c r="B1077">
        <v>3097</v>
      </c>
      <c r="C1077">
        <v>1.1405239735025505</v>
      </c>
      <c r="D1077" s="2">
        <v>-1.3757020186500003E-2</v>
      </c>
      <c r="E1077" s="2">
        <v>7.5106288876545056E-3</v>
      </c>
    </row>
    <row r="1078" spans="1:5" x14ac:dyDescent="0.35">
      <c r="A1078" s="1">
        <v>45751</v>
      </c>
      <c r="B1078">
        <v>3012</v>
      </c>
      <c r="C1078">
        <v>1.1638598052937632</v>
      </c>
      <c r="D1078" s="2">
        <v>-2.7829591053418579E-2</v>
      </c>
      <c r="E1078" s="2">
        <v>2.0254117177799836E-2</v>
      </c>
    </row>
    <row r="1079" spans="1:5" x14ac:dyDescent="0.35">
      <c r="A1079" s="1">
        <v>45754</v>
      </c>
      <c r="B1079">
        <v>2951.300048828125</v>
      </c>
      <c r="C1079">
        <v>1.1742464205962564</v>
      </c>
      <c r="D1079" s="2">
        <v>-2.0358542145219389E-2</v>
      </c>
      <c r="E1079" s="2">
        <v>8.8846978055588943E-3</v>
      </c>
    </row>
    <row r="1080" spans="1:5" x14ac:dyDescent="0.35">
      <c r="A1080" s="1">
        <v>45755</v>
      </c>
      <c r="B1080">
        <v>2968.39990234375</v>
      </c>
      <c r="C1080">
        <v>1.163182963405655</v>
      </c>
      <c r="D1080" s="2">
        <v>5.7772864227977104E-3</v>
      </c>
      <c r="E1080" s="2">
        <v>-9.4664162993477966E-3</v>
      </c>
    </row>
    <row r="1081" spans="1:5" x14ac:dyDescent="0.35">
      <c r="A1081" s="1">
        <v>45756</v>
      </c>
      <c r="B1081">
        <v>3056.5</v>
      </c>
      <c r="C1081">
        <v>1.1825083769035694</v>
      </c>
      <c r="D1081" s="2">
        <v>2.9247416271417508E-2</v>
      </c>
      <c r="E1081" s="2">
        <v>1.6477744046848271E-2</v>
      </c>
    </row>
    <row r="1082" spans="1:5" x14ac:dyDescent="0.35">
      <c r="A1082" s="1">
        <v>45757</v>
      </c>
      <c r="B1082">
        <v>3155.199951171875</v>
      </c>
      <c r="C1082">
        <v>1.1689754278633973</v>
      </c>
      <c r="D1082" s="2">
        <v>3.1781399464090879E-2</v>
      </c>
      <c r="E1082" s="2">
        <v>-1.1510262943852025E-2</v>
      </c>
    </row>
    <row r="1083" spans="1:5" x14ac:dyDescent="0.35">
      <c r="A1083" s="1">
        <v>45758</v>
      </c>
      <c r="B1083">
        <v>3222.199951171875</v>
      </c>
      <c r="C1083">
        <v>1.2183829448046299</v>
      </c>
      <c r="D1083" s="2">
        <v>2.1012470970354798E-2</v>
      </c>
      <c r="E1083" s="2">
        <v>4.1396861997215886E-2</v>
      </c>
    </row>
    <row r="1084" spans="1:5" x14ac:dyDescent="0.35">
      <c r="A1084" s="1">
        <v>45761</v>
      </c>
      <c r="B1084">
        <v>3204.800048828125</v>
      </c>
      <c r="C1084">
        <v>1.2224042532154822</v>
      </c>
      <c r="D1084" s="2">
        <v>-5.4146397557367498E-3</v>
      </c>
      <c r="E1084" s="2">
        <v>3.2950943471099104E-3</v>
      </c>
    </row>
    <row r="1085" spans="1:5" x14ac:dyDescent="0.35">
      <c r="A1085" s="1">
        <v>45762</v>
      </c>
      <c r="B1085">
        <v>3218.699951171875</v>
      </c>
      <c r="C1085">
        <v>1.2255502870549968</v>
      </c>
      <c r="D1085" s="2">
        <v>4.3278349931827071E-3</v>
      </c>
      <c r="E1085" s="2">
        <v>2.5703382312204665E-3</v>
      </c>
    </row>
    <row r="1086" spans="1:5" x14ac:dyDescent="0.35">
      <c r="A1086" s="1">
        <v>45763</v>
      </c>
      <c r="B1086">
        <v>3326.60009765625</v>
      </c>
      <c r="C1086">
        <v>1.2183680802565766</v>
      </c>
      <c r="D1086" s="2">
        <v>3.2973254571937123E-2</v>
      </c>
      <c r="E1086" s="2">
        <v>-5.8776328793875357E-3</v>
      </c>
    </row>
    <row r="1087" spans="1:5" x14ac:dyDescent="0.35">
      <c r="A1087" s="1">
        <v>45764</v>
      </c>
      <c r="B1087">
        <v>3308.699951171875</v>
      </c>
      <c r="C1087">
        <v>1.2288786050279583</v>
      </c>
      <c r="D1087" s="2">
        <v>-5.3954424898931567E-3</v>
      </c>
      <c r="E1087" s="2">
        <v>8.5897261274774303E-3</v>
      </c>
    </row>
    <row r="1088" spans="1:5" x14ac:dyDescent="0.35">
      <c r="A1088" s="1">
        <v>45769</v>
      </c>
      <c r="B1088">
        <v>3400.800048828125</v>
      </c>
      <c r="C1088">
        <v>1.236017515462176</v>
      </c>
      <c r="D1088" s="2">
        <v>2.7455364179699741E-2</v>
      </c>
      <c r="E1088" s="2">
        <v>5.7924797201344734E-3</v>
      </c>
    </row>
    <row r="1089" spans="1:5" x14ac:dyDescent="0.35">
      <c r="A1089" s="1">
        <v>45770</v>
      </c>
      <c r="B1089">
        <v>3276.300048828125</v>
      </c>
      <c r="C1089">
        <v>1.2105511483203701</v>
      </c>
      <c r="D1089" s="2">
        <v>-3.729596062718759E-2</v>
      </c>
      <c r="E1089" s="2">
        <v>-2.0818779638818511E-2</v>
      </c>
    </row>
    <row r="1090" spans="1:5" x14ac:dyDescent="0.35">
      <c r="A1090" s="1">
        <v>45771</v>
      </c>
      <c r="B1090">
        <v>3332</v>
      </c>
      <c r="C1090">
        <v>1.2051096508524011</v>
      </c>
      <c r="D1090" s="2">
        <v>1.6857972511505684E-2</v>
      </c>
      <c r="E1090" s="2">
        <v>-4.5051910214826711E-3</v>
      </c>
    </row>
    <row r="1091" spans="1:5" x14ac:dyDescent="0.35">
      <c r="A1091" s="1">
        <v>45772</v>
      </c>
      <c r="B1091">
        <v>3282.39990234375</v>
      </c>
      <c r="C1091">
        <v>1.2066510595909796</v>
      </c>
      <c r="D1091" s="2">
        <v>-1.499789191023496E-2</v>
      </c>
      <c r="E1091" s="2">
        <v>1.2782436846080943E-3</v>
      </c>
    </row>
    <row r="1092" spans="1:5" x14ac:dyDescent="0.35">
      <c r="A1092" s="1">
        <v>45775</v>
      </c>
      <c r="B1092">
        <v>3332.5</v>
      </c>
      <c r="C1092">
        <v>1.2071462830633448</v>
      </c>
      <c r="D1092" s="2">
        <v>1.5147940676365497E-2</v>
      </c>
      <c r="E1092" s="2">
        <v>4.1032730508255768E-4</v>
      </c>
    </row>
    <row r="1093" spans="1:5" x14ac:dyDescent="0.35">
      <c r="A1093" s="1">
        <v>45776</v>
      </c>
      <c r="B1093">
        <v>3318.800048828125</v>
      </c>
      <c r="C1093">
        <v>1.2177449804685714</v>
      </c>
      <c r="D1093" s="2">
        <v>-4.1194865501492824E-3</v>
      </c>
      <c r="E1093" s="2">
        <v>8.7416413736158844E-3</v>
      </c>
    </row>
    <row r="1094" spans="1:5" x14ac:dyDescent="0.35">
      <c r="A1094" s="1">
        <v>45777</v>
      </c>
      <c r="B1094">
        <v>3305</v>
      </c>
      <c r="C1094">
        <v>1.2144470797219917</v>
      </c>
      <c r="D1094" s="2">
        <v>-4.1668132169278751E-3</v>
      </c>
      <c r="E1094" s="2">
        <v>-2.7118769292097319E-3</v>
      </c>
    </row>
    <row r="1095" spans="1:5" x14ac:dyDescent="0.35">
      <c r="A1095" s="1">
        <v>45778</v>
      </c>
      <c r="B1095">
        <v>3210</v>
      </c>
      <c r="C1095">
        <v>1.2107124117676815</v>
      </c>
      <c r="D1095" s="2">
        <v>-2.9165536161725059E-2</v>
      </c>
      <c r="E1095" s="2">
        <v>-3.0799383872910646E-3</v>
      </c>
    </row>
    <row r="1096" spans="1:5" x14ac:dyDescent="0.35">
      <c r="A1096" s="1">
        <v>45779</v>
      </c>
      <c r="B1096">
        <v>3231.89990234375</v>
      </c>
      <c r="C1096">
        <v>1.206301678525928</v>
      </c>
      <c r="D1096" s="2">
        <v>6.7992322278356476E-3</v>
      </c>
      <c r="E1096" s="2">
        <v>-3.6497413528569396E-3</v>
      </c>
    </row>
    <row r="1097" spans="1:5" x14ac:dyDescent="0.35">
      <c r="A1097" s="1">
        <v>45782</v>
      </c>
      <c r="B1097">
        <v>3311.300048828125</v>
      </c>
      <c r="C1097">
        <v>1.2134449444326472</v>
      </c>
      <c r="D1097" s="2">
        <v>2.4270706904035648E-2</v>
      </c>
      <c r="E1097" s="2">
        <v>5.9041608651026842E-3</v>
      </c>
    </row>
    <row r="1098" spans="1:5" x14ac:dyDescent="0.35">
      <c r="A1098" s="1">
        <v>45783</v>
      </c>
      <c r="B1098">
        <v>3411.39990234375</v>
      </c>
      <c r="C1098">
        <v>1.2168544170695417</v>
      </c>
      <c r="D1098" s="2">
        <v>2.9781859324395553E-2</v>
      </c>
      <c r="E1098" s="2">
        <v>2.8058065007737451E-3</v>
      </c>
    </row>
    <row r="1099" spans="1:5" x14ac:dyDescent="0.35">
      <c r="A1099" s="1">
        <v>45784</v>
      </c>
      <c r="B1099">
        <v>3381.39990234375</v>
      </c>
      <c r="C1099">
        <v>1.211196285125377</v>
      </c>
      <c r="D1099" s="2">
        <v>-8.8329395578821916E-3</v>
      </c>
      <c r="E1099" s="2">
        <v>-4.660645826735435E-3</v>
      </c>
    </row>
    <row r="1100" spans="1:5" x14ac:dyDescent="0.35">
      <c r="A1100" s="1">
        <v>45785</v>
      </c>
      <c r="B1100">
        <v>3296.60009765625</v>
      </c>
      <c r="C1100">
        <v>1.2136658886004046</v>
      </c>
      <c r="D1100" s="2">
        <v>-2.5398132101867026E-2</v>
      </c>
      <c r="E1100" s="2">
        <v>2.0369028439193603E-3</v>
      </c>
    </row>
    <row r="1101" spans="1:5" x14ac:dyDescent="0.35">
      <c r="A1101" s="1">
        <v>45786</v>
      </c>
      <c r="B1101">
        <v>3335.39990234375</v>
      </c>
      <c r="C1101">
        <v>1.2022120933656117</v>
      </c>
      <c r="D1101" s="2">
        <v>1.1700918988177024E-2</v>
      </c>
      <c r="E1101" s="2">
        <v>-9.4821685028598935E-3</v>
      </c>
    </row>
    <row r="1102" spans="1:5" x14ac:dyDescent="0.35">
      <c r="A1102" s="1">
        <v>45789</v>
      </c>
      <c r="B1102">
        <v>3220</v>
      </c>
      <c r="C1102">
        <v>1.1994290971161168</v>
      </c>
      <c r="D1102" s="2">
        <v>-3.5211223370302219E-2</v>
      </c>
      <c r="E1102" s="2">
        <v>-2.3175797502042505E-3</v>
      </c>
    </row>
    <row r="1103" spans="1:5" x14ac:dyDescent="0.35">
      <c r="A1103" s="1">
        <v>45790</v>
      </c>
      <c r="B1103">
        <v>3240.300048828125</v>
      </c>
      <c r="C1103">
        <v>1.183614087373116</v>
      </c>
      <c r="D1103" s="2">
        <v>6.2845736230977426E-3</v>
      </c>
      <c r="E1103" s="2">
        <v>-1.3273147571370464E-2</v>
      </c>
    </row>
    <row r="1104" spans="1:5" x14ac:dyDescent="0.35">
      <c r="A1104" s="1">
        <v>45791</v>
      </c>
      <c r="B1104">
        <v>3181.39990234375</v>
      </c>
      <c r="C1104">
        <v>1.1912845982524831</v>
      </c>
      <c r="D1104" s="2">
        <v>-1.8344612393290653E-2</v>
      </c>
      <c r="E1104" s="2">
        <v>6.459675604960277E-3</v>
      </c>
    </row>
    <row r="1105" spans="1:5" x14ac:dyDescent="0.35">
      <c r="A1105" s="1">
        <v>45792</v>
      </c>
      <c r="B1105">
        <v>3220.699951171875</v>
      </c>
      <c r="C1105">
        <v>1.1887327133089516</v>
      </c>
      <c r="D1105" s="2">
        <v>1.2277391287757004E-2</v>
      </c>
      <c r="E1105" s="2">
        <v>-2.144426352743195E-3</v>
      </c>
    </row>
    <row r="1106" spans="1:5" x14ac:dyDescent="0.35">
      <c r="A1106" s="1">
        <v>45793</v>
      </c>
      <c r="B1106">
        <v>3182</v>
      </c>
      <c r="C1106">
        <v>1.1981788087983487</v>
      </c>
      <c r="D1106" s="2">
        <v>-1.2088782158285714E-2</v>
      </c>
      <c r="E1106" s="2">
        <v>7.9149517823024224E-3</v>
      </c>
    </row>
    <row r="1107" spans="1:5" x14ac:dyDescent="0.35">
      <c r="A1107" s="1">
        <v>45796</v>
      </c>
      <c r="B1107">
        <v>3228.89990234375</v>
      </c>
      <c r="C1107">
        <v>1.1969597314598304</v>
      </c>
      <c r="D1107" s="2">
        <v>1.4631561796196542E-2</v>
      </c>
      <c r="E1107" s="2">
        <v>-1.0179598576861664E-3</v>
      </c>
    </row>
    <row r="1108" spans="1:5" x14ac:dyDescent="0.35">
      <c r="A1108" s="1">
        <v>45797</v>
      </c>
      <c r="B1108">
        <v>3280.300048828125</v>
      </c>
      <c r="C1108">
        <v>1.1976190979275325</v>
      </c>
      <c r="D1108" s="2">
        <v>1.5793404801633753E-2</v>
      </c>
      <c r="E1108" s="2">
        <v>5.507160393092795E-4</v>
      </c>
    </row>
    <row r="1109" spans="1:5" x14ac:dyDescent="0.35">
      <c r="A1109" s="1">
        <v>45798</v>
      </c>
      <c r="B1109">
        <v>3309.300048828125</v>
      </c>
      <c r="C1109">
        <v>1.2096110678600593</v>
      </c>
      <c r="D1109" s="2">
        <v>8.8018049027029071E-3</v>
      </c>
      <c r="E1109" s="2">
        <v>9.9633755884446056E-3</v>
      </c>
    </row>
    <row r="1110" spans="1:5" x14ac:dyDescent="0.35">
      <c r="A1110" s="1">
        <v>45799</v>
      </c>
      <c r="B1110">
        <v>3292.300048828125</v>
      </c>
      <c r="C1110">
        <v>1.2120183396234376</v>
      </c>
      <c r="D1110" s="2">
        <v>-5.1502779102344243E-3</v>
      </c>
      <c r="E1110" s="2">
        <v>1.9881428172921585E-3</v>
      </c>
    </row>
    <row r="1111" spans="1:5" x14ac:dyDescent="0.35">
      <c r="A1111" s="1">
        <v>45800</v>
      </c>
      <c r="B1111">
        <v>3363.60009765625</v>
      </c>
      <c r="C1111">
        <v>1.2071754673904205</v>
      </c>
      <c r="D1111" s="2">
        <v>2.1425434503964738E-2</v>
      </c>
      <c r="E1111" s="2">
        <v>-4.0037128799937961E-3</v>
      </c>
    </row>
    <row r="1112" spans="1:5" x14ac:dyDescent="0.35">
      <c r="A1112" s="1">
        <v>45804</v>
      </c>
      <c r="B1112">
        <v>3299.10009765625</v>
      </c>
      <c r="C1112">
        <v>1.2188878469066933</v>
      </c>
      <c r="D1112" s="2">
        <v>-1.9362124406121534E-2</v>
      </c>
      <c r="E1112" s="2">
        <v>9.6555357330718964E-3</v>
      </c>
    </row>
    <row r="1113" spans="1:5" x14ac:dyDescent="0.35">
      <c r="A1113" s="1">
        <v>45805</v>
      </c>
      <c r="B1113">
        <v>3293.60009765625</v>
      </c>
      <c r="C1113">
        <v>1.2088097804471754</v>
      </c>
      <c r="D1113" s="2">
        <v>-1.6685124798728683E-3</v>
      </c>
      <c r="E1113" s="2">
        <v>-8.3026191061987744E-3</v>
      </c>
    </row>
    <row r="1114" spans="1:5" x14ac:dyDescent="0.35">
      <c r="A1114" s="1">
        <v>45806</v>
      </c>
      <c r="B1114">
        <v>3317.10009765625</v>
      </c>
      <c r="C1114">
        <v>1.2011290768650427</v>
      </c>
      <c r="D1114" s="2">
        <v>7.109715550713264E-3</v>
      </c>
      <c r="E1114" s="2">
        <v>-6.3742111670227987E-3</v>
      </c>
    </row>
    <row r="1115" spans="1:5" x14ac:dyDescent="0.35">
      <c r="A1115" s="1">
        <v>45807</v>
      </c>
      <c r="B1115">
        <v>3288.89990234375</v>
      </c>
      <c r="C1115">
        <v>1.2165894340165542</v>
      </c>
      <c r="D1115" s="2">
        <v>-8.5378040007891356E-3</v>
      </c>
      <c r="E1115" s="2">
        <v>1.2789386205914579E-2</v>
      </c>
    </row>
    <row r="1116" spans="1:5" x14ac:dyDescent="0.35">
      <c r="A1116" s="1">
        <v>45810</v>
      </c>
      <c r="B1116">
        <v>3370.60009765625</v>
      </c>
      <c r="C1116">
        <v>1.2161455835897774</v>
      </c>
      <c r="D1116" s="2">
        <v>2.4537666358951219E-2</v>
      </c>
      <c r="E1116" s="2">
        <v>-3.6489829635320375E-4</v>
      </c>
    </row>
    <row r="1117" spans="1:5" x14ac:dyDescent="0.35">
      <c r="A1117" s="1">
        <v>45811</v>
      </c>
      <c r="B1117">
        <v>3350.199951171875</v>
      </c>
      <c r="C1117">
        <v>1.2255802785290186</v>
      </c>
      <c r="D1117" s="2">
        <v>-6.070768059979941E-3</v>
      </c>
      <c r="E1117" s="2">
        <v>7.727928871617766E-3</v>
      </c>
    </row>
    <row r="1118" spans="1:5" x14ac:dyDescent="0.35">
      <c r="A1118" s="1">
        <v>45812</v>
      </c>
      <c r="B1118">
        <v>3373.5</v>
      </c>
      <c r="C1118">
        <v>1.2152292771380266</v>
      </c>
      <c r="D1118" s="2">
        <v>6.9307501125834836E-3</v>
      </c>
      <c r="E1118" s="2">
        <v>-8.48166414290971E-3</v>
      </c>
    </row>
    <row r="1119" spans="1:5" x14ac:dyDescent="0.35">
      <c r="A1119" s="1">
        <v>45813</v>
      </c>
      <c r="B1119">
        <v>3350.699951171875</v>
      </c>
      <c r="C1119">
        <v>1.2225387570109987</v>
      </c>
      <c r="D1119" s="2">
        <v>-6.7815164251042474E-3</v>
      </c>
      <c r="E1119" s="2">
        <v>5.9968804875677774E-3</v>
      </c>
    </row>
    <row r="1120" spans="1:5" x14ac:dyDescent="0.35">
      <c r="A1120" s="1">
        <v>45814</v>
      </c>
      <c r="B1120">
        <v>3322.699951171875</v>
      </c>
      <c r="C1120">
        <v>1.2206286422130832</v>
      </c>
      <c r="D1120" s="2">
        <v>-8.3915739261592459E-3</v>
      </c>
      <c r="E1120" s="2">
        <v>-1.5636384045582881E-3</v>
      </c>
    </row>
    <row r="1121" spans="1:5" x14ac:dyDescent="0.35">
      <c r="A1121" s="1">
        <v>45817</v>
      </c>
      <c r="B1121">
        <v>3332.10009765625</v>
      </c>
      <c r="C1121">
        <v>1.217641221919205</v>
      </c>
      <c r="D1121" s="2">
        <v>2.8250744326858415E-3</v>
      </c>
      <c r="E1121" s="2">
        <v>-2.4504439255868538E-3</v>
      </c>
    </row>
    <row r="1122" spans="1:5" x14ac:dyDescent="0.35">
      <c r="A1122" s="1">
        <v>45818</v>
      </c>
      <c r="B1122">
        <v>3320.89990234375</v>
      </c>
      <c r="C1122">
        <v>1.2177301314829667</v>
      </c>
      <c r="D1122" s="2">
        <v>-3.3669640443006869E-3</v>
      </c>
      <c r="E1122" s="2">
        <v>7.3015200476142622E-5</v>
      </c>
    </row>
    <row r="1123" spans="1:5" x14ac:dyDescent="0.35">
      <c r="A1123" s="1">
        <v>45819</v>
      </c>
      <c r="B1123">
        <v>3321.300048828125</v>
      </c>
      <c r="C1123">
        <v>1.2166634552927804</v>
      </c>
      <c r="D1123" s="2">
        <v>1.20486130438958E-4</v>
      </c>
      <c r="E1123" s="2">
        <v>-8.7633837374964272E-4</v>
      </c>
    </row>
    <row r="1124" spans="1:5" x14ac:dyDescent="0.35">
      <c r="A1124" s="1">
        <v>45820</v>
      </c>
      <c r="B1124">
        <v>3380.89990234375</v>
      </c>
      <c r="C1124">
        <v>1.2218963453118952</v>
      </c>
      <c r="D1124" s="2">
        <v>1.7785630102534412E-2</v>
      </c>
      <c r="E1124" s="2">
        <v>4.2917939105537335E-3</v>
      </c>
    </row>
    <row r="1125" spans="1:5" x14ac:dyDescent="0.35">
      <c r="A1125" s="1">
        <v>45821</v>
      </c>
      <c r="B1125">
        <v>3431.199951171875</v>
      </c>
      <c r="C1125">
        <v>1.2360939198253444</v>
      </c>
      <c r="D1125" s="2">
        <v>1.4768122634469274E-2</v>
      </c>
      <c r="E1125" s="2">
        <v>1.1552309714373918E-2</v>
      </c>
    </row>
    <row r="1126" spans="1:5" x14ac:dyDescent="0.35">
      <c r="A1126" s="1">
        <v>45824</v>
      </c>
      <c r="B1126">
        <v>3396.39990234375</v>
      </c>
      <c r="C1126">
        <v>1.2311996068313711</v>
      </c>
      <c r="D1126" s="2">
        <v>-1.0194021599707037E-2</v>
      </c>
      <c r="E1126" s="2">
        <v>-3.9673588576101806E-3</v>
      </c>
    </row>
    <row r="1127" spans="1:5" x14ac:dyDescent="0.35">
      <c r="A1127" s="1">
        <v>45825</v>
      </c>
      <c r="B1127">
        <v>3386.60009765625</v>
      </c>
      <c r="C1127">
        <v>1.2289390957433561</v>
      </c>
      <c r="D1127" s="2">
        <v>-2.8895213050230267E-3</v>
      </c>
      <c r="E1127" s="2">
        <v>-1.8377107939716044E-3</v>
      </c>
    </row>
    <row r="1128" spans="1:5" x14ac:dyDescent="0.35">
      <c r="A1128" s="1">
        <v>45826</v>
      </c>
      <c r="B1128">
        <v>3389.800048828125</v>
      </c>
      <c r="C1128">
        <v>1.2241850375970353</v>
      </c>
      <c r="D1128" s="2">
        <v>9.444399210661637E-4</v>
      </c>
      <c r="E1128" s="2">
        <v>-3.8759262389652161E-3</v>
      </c>
    </row>
    <row r="1129" spans="1:5" x14ac:dyDescent="0.35">
      <c r="A1129" s="1">
        <v>45828</v>
      </c>
      <c r="B1129">
        <v>3368.10009765625</v>
      </c>
      <c r="C1129">
        <v>1.2249047967653059</v>
      </c>
      <c r="D1129" s="2">
        <v>-6.4221208610746846E-3</v>
      </c>
      <c r="E1129" s="2">
        <v>5.8777687849077733E-4</v>
      </c>
    </row>
    <row r="1130" spans="1:5" x14ac:dyDescent="0.35">
      <c r="A1130" s="1">
        <v>45831</v>
      </c>
      <c r="B1130">
        <v>3377.699951171875</v>
      </c>
      <c r="C1130">
        <v>1.2228676588067495</v>
      </c>
      <c r="D1130" s="2">
        <v>2.8461738938607515E-3</v>
      </c>
      <c r="E1130" s="2">
        <v>-1.664483497429894E-3</v>
      </c>
    </row>
    <row r="1131" spans="1:5" x14ac:dyDescent="0.35">
      <c r="A1131" s="1">
        <v>45832</v>
      </c>
      <c r="B1131">
        <v>3317.39990234375</v>
      </c>
      <c r="C1131">
        <v>1.2306480752712385</v>
      </c>
      <c r="D1131" s="2">
        <v>-1.8013675886811464E-2</v>
      </c>
      <c r="E1131" s="2">
        <v>6.3422805378422391E-3</v>
      </c>
    </row>
    <row r="1132" spans="1:5" x14ac:dyDescent="0.35">
      <c r="A1132" s="1">
        <v>45833</v>
      </c>
      <c r="B1132">
        <v>3327.10009765625</v>
      </c>
      <c r="C1132">
        <v>1.2420046379322152</v>
      </c>
      <c r="D1132" s="2">
        <v>2.9197688926843124E-3</v>
      </c>
      <c r="E1132" s="2">
        <v>9.1857966585494472E-3</v>
      </c>
    </row>
    <row r="1133" spans="1:5" x14ac:dyDescent="0.35">
      <c r="A1133" s="1">
        <v>45834</v>
      </c>
      <c r="B1133">
        <v>3333.5</v>
      </c>
      <c r="C1133">
        <v>1.2441989055165572</v>
      </c>
      <c r="D1133" s="2">
        <v>1.9217200310753606E-3</v>
      </c>
      <c r="E1133" s="2">
        <v>1.7651556807252774E-3</v>
      </c>
    </row>
    <row r="1134" spans="1:5" x14ac:dyDescent="0.35">
      <c r="A1134" s="1">
        <v>45835</v>
      </c>
      <c r="B1134">
        <v>3273.699951171875</v>
      </c>
      <c r="C1134">
        <v>1.2486108759550798</v>
      </c>
      <c r="D1134" s="2">
        <v>-1.8101974273062114E-2</v>
      </c>
      <c r="E1134" s="2">
        <v>3.5397606974366435E-3</v>
      </c>
    </row>
    <row r="1135" spans="1:5" x14ac:dyDescent="0.35">
      <c r="A1135" s="1">
        <v>45838</v>
      </c>
      <c r="B1135">
        <v>3294.39990234375</v>
      </c>
      <c r="C1135">
        <v>1.2527403388769447</v>
      </c>
      <c r="D1135" s="2">
        <v>6.303198845365553E-3</v>
      </c>
      <c r="E1135" s="2">
        <v>3.3017887683500996E-3</v>
      </c>
    </row>
    <row r="1136" spans="1:5" x14ac:dyDescent="0.35">
      <c r="A1136" s="1">
        <v>45839</v>
      </c>
      <c r="B1136">
        <v>3336.699951171875</v>
      </c>
      <c r="C1136">
        <v>1.2614794315783855</v>
      </c>
      <c r="D1136" s="2">
        <v>1.2758252337171075E-2</v>
      </c>
      <c r="E1136" s="2">
        <v>6.9517613365440547E-3</v>
      </c>
    </row>
    <row r="1137" spans="1:5" x14ac:dyDescent="0.35">
      <c r="A1137" s="1">
        <v>45840</v>
      </c>
      <c r="B1137">
        <v>3348</v>
      </c>
      <c r="C1137">
        <v>1.2647181498399958</v>
      </c>
      <c r="D1137" s="2">
        <v>3.3808726417766822E-3</v>
      </c>
      <c r="E1137" s="2">
        <v>2.5641066715320474E-3</v>
      </c>
    </row>
    <row r="1138" spans="1:5" x14ac:dyDescent="0.35">
      <c r="A1138" s="1">
        <v>45841</v>
      </c>
      <c r="B1138">
        <v>3331.60009765625</v>
      </c>
      <c r="C1138">
        <v>1.2634239228578059</v>
      </c>
      <c r="D1138" s="2">
        <v>-4.9104542360636164E-3</v>
      </c>
      <c r="E1138" s="2">
        <v>-1.0238563008196486E-3</v>
      </c>
    </row>
    <row r="1139" spans="1:5" x14ac:dyDescent="0.35">
      <c r="A1139" s="1">
        <v>45842</v>
      </c>
      <c r="B1139">
        <v>3332.5</v>
      </c>
      <c r="C1139">
        <v>1.259287264744231</v>
      </c>
      <c r="D1139" s="2">
        <v>2.7007467956151749E-4</v>
      </c>
      <c r="E1139" s="2">
        <v>-3.2795365886574466E-3</v>
      </c>
    </row>
    <row r="1140" spans="1:5" x14ac:dyDescent="0.35">
      <c r="A1140" s="1">
        <v>45845</v>
      </c>
      <c r="B1140">
        <v>3332.199951171875</v>
      </c>
      <c r="C1140">
        <v>1.2593823603615764</v>
      </c>
      <c r="D1140" s="2">
        <v>-9.0041211315133185E-5</v>
      </c>
      <c r="E1140" s="2">
        <v>7.5512577308865973E-5</v>
      </c>
    </row>
    <row r="1141" spans="1:5" x14ac:dyDescent="0.35">
      <c r="A1141" s="1">
        <v>45846</v>
      </c>
      <c r="B1141">
        <v>3307</v>
      </c>
      <c r="C1141">
        <v>1.2544532629646228</v>
      </c>
      <c r="D1141" s="2">
        <v>-7.5912978597557877E-3</v>
      </c>
      <c r="E1141" s="2">
        <v>-3.9215799698093211E-3</v>
      </c>
    </row>
    <row r="1142" spans="1:5" x14ac:dyDescent="0.35">
      <c r="A1142" s="1">
        <v>45847</v>
      </c>
      <c r="B1142">
        <v>3311.60009765625</v>
      </c>
      <c r="C1142">
        <v>1.2564866025292825</v>
      </c>
      <c r="D1142" s="2">
        <v>1.3900517720019155E-3</v>
      </c>
      <c r="E1142" s="2">
        <v>1.6195847913890603E-3</v>
      </c>
    </row>
    <row r="1143" spans="1:5" x14ac:dyDescent="0.35">
      <c r="A1143" s="1">
        <v>45848</v>
      </c>
      <c r="B1143">
        <v>3317.39990234375</v>
      </c>
      <c r="C1143">
        <v>1.2611453611240278</v>
      </c>
      <c r="D1143" s="2">
        <v>1.7498283805606845E-3</v>
      </c>
      <c r="E1143" s="2">
        <v>3.7009094097010058E-3</v>
      </c>
    </row>
    <row r="1144" spans="1:5" x14ac:dyDescent="0.35">
      <c r="A1144" s="1">
        <v>45849</v>
      </c>
      <c r="B1144">
        <v>3356</v>
      </c>
      <c r="C1144">
        <v>1.2551460550153426</v>
      </c>
      <c r="D1144" s="2">
        <v>1.1568474452741711E-2</v>
      </c>
      <c r="E1144" s="2">
        <v>-4.7683805123786916E-3</v>
      </c>
    </row>
    <row r="1145" spans="1:5" x14ac:dyDescent="0.35">
      <c r="A1145" s="1">
        <v>45852</v>
      </c>
      <c r="B1145">
        <v>3351.5</v>
      </c>
      <c r="C1145">
        <v>1.255035825324482</v>
      </c>
      <c r="D1145" s="2">
        <v>-1.3417817890844313E-3</v>
      </c>
      <c r="E1145" s="2">
        <v>-8.78260589758745E-5</v>
      </c>
    </row>
    <row r="1146" spans="1:5" x14ac:dyDescent="0.35">
      <c r="A1146" s="1">
        <v>45853</v>
      </c>
      <c r="B1146">
        <v>3329.800048828125</v>
      </c>
      <c r="C1146">
        <v>1.2533370406790298</v>
      </c>
      <c r="D1146" s="2">
        <v>-6.4957500232793253E-3</v>
      </c>
      <c r="E1146" s="2">
        <v>-1.3544915336939699E-3</v>
      </c>
    </row>
    <row r="1147" spans="1:5" x14ac:dyDescent="0.35">
      <c r="A1147" s="1">
        <v>45854</v>
      </c>
      <c r="B1147">
        <v>3352.5</v>
      </c>
      <c r="C1147">
        <v>1.2477852227599282</v>
      </c>
      <c r="D1147" s="2">
        <v>6.7940793811005632E-3</v>
      </c>
      <c r="E1147" s="2">
        <v>-4.4394687285770418E-3</v>
      </c>
    </row>
    <row r="1148" spans="1:5" x14ac:dyDescent="0.35">
      <c r="A1148" s="1">
        <v>45855</v>
      </c>
      <c r="B1148">
        <v>3340.10009765625</v>
      </c>
      <c r="C1148">
        <v>1.2485641362402071</v>
      </c>
      <c r="D1148" s="2">
        <v>-3.7055602760010316E-3</v>
      </c>
      <c r="E1148" s="2">
        <v>6.2404206586569126E-4</v>
      </c>
    </row>
    <row r="1149" spans="1:5" x14ac:dyDescent="0.35">
      <c r="A1149" s="1">
        <v>45856</v>
      </c>
      <c r="B1149">
        <v>3353</v>
      </c>
      <c r="C1149">
        <v>1.2455161587252825</v>
      </c>
      <c r="D1149" s="2">
        <v>3.8546915863960779E-3</v>
      </c>
      <c r="E1149" s="2">
        <v>-2.4441707337604988E-3</v>
      </c>
    </row>
    <row r="1150" spans="1:5" x14ac:dyDescent="0.35">
      <c r="A1150" s="1">
        <v>45859</v>
      </c>
      <c r="B1150">
        <v>3401.89990234375</v>
      </c>
      <c r="C1150">
        <v>1.248158957621766</v>
      </c>
      <c r="D1150" s="2">
        <v>1.447860287732854E-2</v>
      </c>
      <c r="E1150" s="2">
        <v>2.1196024041814643E-3</v>
      </c>
    </row>
    <row r="1151" spans="1:5" x14ac:dyDescent="0.35">
      <c r="A1151" s="1">
        <v>45860</v>
      </c>
      <c r="B1151">
        <v>3439.199951171875</v>
      </c>
      <c r="C1151">
        <v>1.2530009048795083</v>
      </c>
      <c r="D1151" s="2">
        <v>1.0904801640990577E-2</v>
      </c>
      <c r="E1151" s="2">
        <v>3.871766358452313E-3</v>
      </c>
    </row>
    <row r="1152" spans="1:5" x14ac:dyDescent="0.35">
      <c r="A1152" s="1">
        <v>45861</v>
      </c>
      <c r="B1152">
        <v>3394.10009765625</v>
      </c>
      <c r="C1152">
        <v>1.2600330066267105</v>
      </c>
      <c r="D1152" s="2">
        <v>-1.3200213092493647E-2</v>
      </c>
      <c r="E1152" s="2">
        <v>5.5965182717005535E-3</v>
      </c>
    </row>
    <row r="1153" spans="1:5" x14ac:dyDescent="0.35">
      <c r="A1153" s="1">
        <v>45862</v>
      </c>
      <c r="B1153">
        <v>3371</v>
      </c>
      <c r="C1153">
        <v>1.2625513005984794</v>
      </c>
      <c r="D1153" s="2">
        <v>-6.8292226579931723E-3</v>
      </c>
      <c r="E1153" s="2">
        <v>1.9965991234743023E-3</v>
      </c>
    </row>
    <row r="1154" spans="1:5" x14ac:dyDescent="0.35">
      <c r="A1154" s="1">
        <v>45863</v>
      </c>
      <c r="B1154">
        <v>3334</v>
      </c>
      <c r="C1154">
        <v>1.2580673269191747</v>
      </c>
      <c r="D1154" s="2">
        <v>-1.1036651923321424E-2</v>
      </c>
      <c r="E1154" s="2">
        <v>-3.5578396194332275E-3</v>
      </c>
    </row>
    <row r="1155" spans="1:5" x14ac:dyDescent="0.35">
      <c r="A1155" s="1">
        <v>45866</v>
      </c>
      <c r="B1155">
        <v>3309.10009765625</v>
      </c>
      <c r="C1155">
        <v>1.2572765149885785</v>
      </c>
      <c r="D1155" s="2">
        <v>-7.4965057238816635E-3</v>
      </c>
      <c r="E1155" s="2">
        <v>-6.2879034148434216E-4</v>
      </c>
    </row>
    <row r="1156" spans="1:5" x14ac:dyDescent="0.35">
      <c r="A1156" s="1">
        <v>45867</v>
      </c>
      <c r="B1156">
        <v>3323.39990234375</v>
      </c>
      <c r="C1156">
        <v>1.2451749627535906</v>
      </c>
      <c r="D1156" s="2">
        <v>4.3120472958143976E-3</v>
      </c>
      <c r="E1156" s="2">
        <v>-9.671833143196298E-3</v>
      </c>
    </row>
    <row r="1157" spans="1:5" x14ac:dyDescent="0.35">
      <c r="A1157" s="1">
        <v>45868</v>
      </c>
      <c r="B1157">
        <v>3295.800048828125</v>
      </c>
      <c r="C1157">
        <v>1.2415111831507708</v>
      </c>
      <c r="D1157" s="2">
        <v>-8.3393804907852323E-3</v>
      </c>
      <c r="E1157" s="2">
        <v>-2.9467186761383212E-3</v>
      </c>
    </row>
    <row r="1158" spans="1:5" x14ac:dyDescent="0.35">
      <c r="A1158" s="1">
        <v>45869</v>
      </c>
      <c r="B1158">
        <v>3293.199951171875</v>
      </c>
      <c r="C1158">
        <v>1.2296946508934723</v>
      </c>
      <c r="D1158" s="2">
        <v>-7.8922379457010017E-4</v>
      </c>
      <c r="E1158" s="2">
        <v>-9.5634464402409598E-3</v>
      </c>
    </row>
    <row r="1159" spans="1:5" x14ac:dyDescent="0.35">
      <c r="A1159" s="1">
        <v>45870</v>
      </c>
      <c r="B1159">
        <v>3347.699951171875</v>
      </c>
      <c r="C1159">
        <v>1.2286521777848602</v>
      </c>
      <c r="D1159" s="2">
        <v>1.641380667687466E-2</v>
      </c>
      <c r="E1159" s="2">
        <v>-8.4810911051073641E-4</v>
      </c>
    </row>
    <row r="1160" spans="1:5" x14ac:dyDescent="0.35">
      <c r="A1160" s="1">
        <v>45873</v>
      </c>
      <c r="B1160">
        <v>3374.39990234375</v>
      </c>
      <c r="C1160">
        <v>1.2437656650220485</v>
      </c>
      <c r="D1160" s="2">
        <v>7.9439735099882548E-3</v>
      </c>
      <c r="E1160" s="2">
        <v>1.2225826255712035E-2</v>
      </c>
    </row>
    <row r="1161" spans="1:5" x14ac:dyDescent="0.35">
      <c r="A1161" s="1">
        <v>45874</v>
      </c>
      <c r="B1161">
        <v>3381.89990234375</v>
      </c>
      <c r="C1161">
        <v>1.2390192163298814</v>
      </c>
      <c r="D1161" s="2">
        <v>2.2201510582657955E-3</v>
      </c>
      <c r="E1161" s="2">
        <v>-3.8234923292905267E-3</v>
      </c>
    </row>
    <row r="1162" spans="1:5" x14ac:dyDescent="0.35">
      <c r="A1162" s="1">
        <v>45875</v>
      </c>
      <c r="B1162">
        <v>3380</v>
      </c>
      <c r="C1162">
        <v>1.2392802383772161</v>
      </c>
      <c r="D1162" s="2">
        <v>-5.6194336538091267E-4</v>
      </c>
      <c r="E1162" s="2">
        <v>2.106460926696826E-4</v>
      </c>
    </row>
    <row r="1163" spans="1:5" x14ac:dyDescent="0.35">
      <c r="A1163" s="1">
        <v>45876</v>
      </c>
      <c r="B1163">
        <v>3400.300048828125</v>
      </c>
      <c r="C1163">
        <v>1.2406178237150394</v>
      </c>
      <c r="D1163" s="2">
        <v>5.9879678887474761E-3</v>
      </c>
      <c r="E1163" s="2">
        <v>1.0787422983066569E-3</v>
      </c>
    </row>
    <row r="1164" spans="1:5" x14ac:dyDescent="0.35">
      <c r="A1164" s="1">
        <v>45877</v>
      </c>
      <c r="B1164">
        <v>3439.10009765625</v>
      </c>
      <c r="C1164">
        <v>1.2411721775940123</v>
      </c>
      <c r="D1164" s="2">
        <v>1.134616025997749E-2</v>
      </c>
      <c r="E1164" s="2">
        <v>4.4673714367450453E-4</v>
      </c>
    </row>
    <row r="1165" spans="1:5" x14ac:dyDescent="0.35">
      <c r="A1165" s="1">
        <v>45880</v>
      </c>
      <c r="B1165">
        <v>3353.10009765625</v>
      </c>
      <c r="C1165">
        <v>1.2384360666442313</v>
      </c>
      <c r="D1165" s="2">
        <v>-2.5324517441945554E-2</v>
      </c>
      <c r="E1165" s="2">
        <v>-2.2068905978411633E-3</v>
      </c>
    </row>
    <row r="1166" spans="1:5" x14ac:dyDescent="0.35">
      <c r="A1166" s="1">
        <v>45881</v>
      </c>
      <c r="B1166">
        <v>3348.89990234375</v>
      </c>
      <c r="C1166">
        <v>1.2318304954924262</v>
      </c>
      <c r="D1166" s="2">
        <v>-1.2534156557426127E-3</v>
      </c>
      <c r="E1166" s="2">
        <v>-5.3480761933792365E-3</v>
      </c>
    </row>
    <row r="1167" spans="1:5" x14ac:dyDescent="0.35">
      <c r="A1167" s="1">
        <v>45882</v>
      </c>
      <c r="B1167">
        <v>3358.699951171875</v>
      </c>
      <c r="C1167">
        <v>1.240479312610145</v>
      </c>
      <c r="D1167" s="2">
        <v>2.9220752624799888E-3</v>
      </c>
      <c r="E1167" s="2">
        <v>6.9965765381126395E-3</v>
      </c>
    </row>
    <row r="1168" spans="1:5" x14ac:dyDescent="0.35">
      <c r="A1168" s="1">
        <v>45883</v>
      </c>
      <c r="B1168">
        <v>3335.199951171875</v>
      </c>
      <c r="C1168">
        <v>1.2426682811690219</v>
      </c>
      <c r="D1168" s="2">
        <v>-7.0213468642332851E-3</v>
      </c>
      <c r="E1168" s="2">
        <v>1.7630600221856469E-3</v>
      </c>
    </row>
    <row r="1169" spans="1:5" x14ac:dyDescent="0.35">
      <c r="A1169" s="1">
        <v>45884</v>
      </c>
      <c r="B1169">
        <v>3336</v>
      </c>
      <c r="C1169">
        <v>1.2383594638799988</v>
      </c>
      <c r="D1169" s="2">
        <v>2.398515522892742E-4</v>
      </c>
      <c r="E1169" s="2">
        <v>-3.4734167158285609E-3</v>
      </c>
    </row>
    <row r="1170" spans="1:5" x14ac:dyDescent="0.35">
      <c r="A1170" s="1">
        <v>45887</v>
      </c>
      <c r="B1170">
        <v>3331.699951171875</v>
      </c>
      <c r="C1170">
        <v>1.2397719209648002</v>
      </c>
      <c r="D1170" s="2">
        <v>-1.2898149154139478E-3</v>
      </c>
      <c r="E1170" s="2">
        <v>1.1399373305157683E-3</v>
      </c>
    </row>
    <row r="1171" spans="1:5" x14ac:dyDescent="0.35">
      <c r="A1171" s="1">
        <v>45888</v>
      </c>
      <c r="B1171">
        <v>3313.39990234375</v>
      </c>
      <c r="C1171">
        <v>1.2385281304748263</v>
      </c>
      <c r="D1171" s="2">
        <v>-5.5078465319110641E-3</v>
      </c>
      <c r="E1171" s="2">
        <v>-1.0037449611303389E-3</v>
      </c>
    </row>
    <row r="1172" spans="1:5" x14ac:dyDescent="0.35">
      <c r="A1172" s="1">
        <v>45889</v>
      </c>
      <c r="B1172">
        <v>3343.39990234375</v>
      </c>
      <c r="C1172">
        <v>1.2379761354154462</v>
      </c>
      <c r="D1172" s="2">
        <v>9.0134010285528431E-3</v>
      </c>
      <c r="E1172" s="2">
        <v>-4.457856795357169E-4</v>
      </c>
    </row>
    <row r="1173" spans="1:5" x14ac:dyDescent="0.35">
      <c r="A1173" s="1">
        <v>45890</v>
      </c>
      <c r="B1173">
        <v>3336.89990234375</v>
      </c>
      <c r="C1173">
        <v>1.2435645971494074</v>
      </c>
      <c r="D1173" s="2">
        <v>-1.9460210593331287E-3</v>
      </c>
      <c r="E1173" s="2">
        <v>4.5040334080061334E-3</v>
      </c>
    </row>
    <row r="1174" spans="1:5" x14ac:dyDescent="0.35">
      <c r="A1174" s="1">
        <v>45891</v>
      </c>
      <c r="B1174">
        <v>3374.39990234375</v>
      </c>
      <c r="C1174">
        <v>1.2365983891628292</v>
      </c>
      <c r="D1174" s="2">
        <v>1.1175298783647576E-2</v>
      </c>
      <c r="E1174" s="2">
        <v>-5.6175552529068419E-3</v>
      </c>
    </row>
    <row r="1175" spans="1:5" x14ac:dyDescent="0.35">
      <c r="A1175" s="1">
        <v>45894</v>
      </c>
      <c r="B1175">
        <v>3373.800048828125</v>
      </c>
      <c r="C1175">
        <v>1.2464787262172254</v>
      </c>
      <c r="D1175" s="2">
        <v>-1.7778178523024962E-4</v>
      </c>
      <c r="E1175" s="2">
        <v>7.958181515029002E-3</v>
      </c>
    </row>
    <row r="1176" spans="1:5" x14ac:dyDescent="0.35">
      <c r="A1176" s="1">
        <v>45895</v>
      </c>
      <c r="B1176">
        <v>3388.60009765625</v>
      </c>
      <c r="C1176">
        <v>1.2404331796853421</v>
      </c>
      <c r="D1176" s="2">
        <v>4.3771655441112271E-3</v>
      </c>
      <c r="E1176" s="2">
        <v>-4.8618999541437859E-3</v>
      </c>
    </row>
    <row r="1177" spans="1:5" x14ac:dyDescent="0.35">
      <c r="A1177" s="1">
        <v>45896</v>
      </c>
      <c r="B1177">
        <v>3404.60009765625</v>
      </c>
      <c r="C1177">
        <v>1.2441524955218279</v>
      </c>
      <c r="D1177" s="2">
        <v>4.7106015210283785E-3</v>
      </c>
      <c r="E1177" s="2">
        <v>2.9939145603073663E-3</v>
      </c>
    </row>
    <row r="1178" spans="1:5" x14ac:dyDescent="0.35">
      <c r="A1178" s="1">
        <v>45897</v>
      </c>
      <c r="B1178">
        <v>3431.800048828125</v>
      </c>
      <c r="C1178">
        <v>1.2476606014201448</v>
      </c>
      <c r="D1178" s="2">
        <v>7.9574320155700335E-3</v>
      </c>
      <c r="E1178" s="2">
        <v>2.8157073420725797E-3</v>
      </c>
    </row>
    <row r="1179" spans="1:5" x14ac:dyDescent="0.35">
      <c r="A1179" s="1">
        <v>45898</v>
      </c>
      <c r="B1179">
        <v>3473.699951171875</v>
      </c>
      <c r="C1179">
        <v>1.2475205133320579</v>
      </c>
      <c r="D1179" s="2">
        <v>1.2135375150160638E-2</v>
      </c>
      <c r="E1179" s="2">
        <v>-1.122869096802902E-4</v>
      </c>
    </row>
    <row r="1180" spans="1:5" x14ac:dyDescent="0.35">
      <c r="A1180" s="1">
        <v>45902</v>
      </c>
      <c r="B1180">
        <v>3549.39990234375</v>
      </c>
      <c r="C1180">
        <v>1.2497657045374992</v>
      </c>
      <c r="D1180" s="2">
        <v>2.155825335719171E-2</v>
      </c>
      <c r="E1180" s="2">
        <v>1.7981053147226277E-3</v>
      </c>
    </row>
    <row r="1181" spans="1:5" x14ac:dyDescent="0.35">
      <c r="A1181" s="1">
        <v>45903</v>
      </c>
      <c r="B1181">
        <v>3593.199951171875</v>
      </c>
      <c r="C1181">
        <v>1.2417886974628076</v>
      </c>
      <c r="D1181" s="2">
        <v>1.2264609179004047E-2</v>
      </c>
      <c r="E1181" s="2">
        <v>-6.4032592057326572E-3</v>
      </c>
    </row>
    <row r="1182" spans="1:5" x14ac:dyDescent="0.35">
      <c r="A1182" s="1">
        <v>45904</v>
      </c>
      <c r="B1182">
        <v>3565.800048828125</v>
      </c>
      <c r="C1182">
        <v>1.2440905901631127</v>
      </c>
      <c r="D1182" s="2">
        <v>-7.6547104718895616E-3</v>
      </c>
      <c r="E1182" s="2">
        <v>1.851975170061555E-3</v>
      </c>
    </row>
    <row r="1183" spans="1:5" x14ac:dyDescent="0.35">
      <c r="A1183" s="1">
        <v>45905</v>
      </c>
      <c r="B1183">
        <v>3613.199951171875</v>
      </c>
      <c r="C1183">
        <v>1.2420354401591964</v>
      </c>
      <c r="D1183" s="2">
        <v>1.3205346467745164E-2</v>
      </c>
      <c r="E1183" s="2">
        <v>-1.65329548621184E-3</v>
      </c>
    </row>
    <row r="1184" spans="1:5" x14ac:dyDescent="0.35">
      <c r="A1184" s="1">
        <v>45908</v>
      </c>
      <c r="B1184">
        <v>3638.10009765625</v>
      </c>
      <c r="C1184">
        <v>1.2512826096927845</v>
      </c>
      <c r="D1184" s="2">
        <v>6.8678014116357704E-3</v>
      </c>
      <c r="E1184" s="2">
        <v>7.4175951462940428E-3</v>
      </c>
    </row>
    <row r="1185" spans="1:5" x14ac:dyDescent="0.35">
      <c r="A1185" s="1">
        <v>45909</v>
      </c>
      <c r="B1185">
        <v>3643.300048828125</v>
      </c>
      <c r="C1185">
        <v>1.2613362233100984</v>
      </c>
      <c r="D1185" s="2">
        <v>1.4282835584511465E-3</v>
      </c>
      <c r="E1185" s="2">
        <v>8.0025407264638238E-3</v>
      </c>
    </row>
    <row r="1186" spans="1:5" x14ac:dyDescent="0.35">
      <c r="A1186" s="1">
        <v>45910</v>
      </c>
      <c r="B1186">
        <v>3643.60009765625</v>
      </c>
      <c r="C1186">
        <v>1.254233066202648</v>
      </c>
      <c r="D1186" s="2">
        <v>8.2352940828917364E-5</v>
      </c>
      <c r="E1186" s="2">
        <v>-5.6473705696338476E-3</v>
      </c>
    </row>
    <row r="1187" spans="1:5" x14ac:dyDescent="0.35">
      <c r="A1187" s="1">
        <v>45911</v>
      </c>
      <c r="B1187">
        <v>3636.89990234375</v>
      </c>
      <c r="C1187">
        <v>1.2520815952345539</v>
      </c>
      <c r="D1187" s="2">
        <v>-1.840587103648067E-3</v>
      </c>
      <c r="E1187" s="2">
        <v>-1.716840690165272E-3</v>
      </c>
    </row>
    <row r="1188" spans="1:5" x14ac:dyDescent="0.35">
      <c r="A1188" s="1">
        <v>45912</v>
      </c>
      <c r="B1188">
        <v>3649.39990234375</v>
      </c>
      <c r="C1188">
        <v>1.2563603312159626</v>
      </c>
      <c r="D1188" s="2">
        <v>3.4311001737597525E-3</v>
      </c>
      <c r="E1188" s="2">
        <v>3.4114723454447063E-3</v>
      </c>
    </row>
    <row r="1189" spans="1:5" x14ac:dyDescent="0.35">
      <c r="A1189" s="1">
        <v>45915</v>
      </c>
      <c r="B1189">
        <v>3682.199951171875</v>
      </c>
      <c r="C1189">
        <v>1.2551776064294911</v>
      </c>
      <c r="D1189" s="2">
        <v>8.947642619622902E-3</v>
      </c>
      <c r="E1189" s="2">
        <v>-9.4183317414527263E-4</v>
      </c>
    </row>
    <row r="1190" spans="1:5" x14ac:dyDescent="0.35">
      <c r="A1190" s="1">
        <v>45916</v>
      </c>
      <c r="B1190">
        <v>3688.89990234375</v>
      </c>
      <c r="C1190">
        <v>1.2583998628281552</v>
      </c>
      <c r="D1190" s="2">
        <v>1.8178977764950366E-3</v>
      </c>
      <c r="E1190" s="2">
        <v>2.5638821187704622E-3</v>
      </c>
    </row>
    <row r="1191" spans="1:5" x14ac:dyDescent="0.35">
      <c r="A1191" s="1">
        <v>45917</v>
      </c>
      <c r="B1191">
        <v>3681.800048828125</v>
      </c>
      <c r="C1191">
        <v>1.2724103101449773</v>
      </c>
      <c r="D1191" s="2">
        <v>-1.9265078645296421E-3</v>
      </c>
      <c r="E1191" s="2">
        <v>1.1072020014863248E-2</v>
      </c>
    </row>
    <row r="1192" spans="1:5" x14ac:dyDescent="0.35">
      <c r="A1192" s="1">
        <v>45918</v>
      </c>
      <c r="B1192">
        <v>3643.699951171875</v>
      </c>
      <c r="C1192">
        <v>1.2684882600000755</v>
      </c>
      <c r="D1192" s="2">
        <v>-1.040214079746196E-2</v>
      </c>
      <c r="E1192" s="2">
        <v>-3.087138783015662E-3</v>
      </c>
    </row>
    <row r="1193" spans="1:5" x14ac:dyDescent="0.35">
      <c r="A1193" s="1">
        <v>45919</v>
      </c>
      <c r="B1193">
        <v>3671.5</v>
      </c>
      <c r="C1193">
        <v>1.2618137739674407</v>
      </c>
      <c r="D1193" s="2">
        <v>7.6006624146401228E-3</v>
      </c>
      <c r="E1193" s="2">
        <v>-5.2756559680929216E-3</v>
      </c>
    </row>
    <row r="1194" spans="1:5" x14ac:dyDescent="0.35">
      <c r="A1194" s="1">
        <v>45922</v>
      </c>
      <c r="B1194">
        <v>3740.699951171875</v>
      </c>
      <c r="C1194">
        <v>1.2559184873956499</v>
      </c>
      <c r="D1194" s="2">
        <v>1.8672448725779663E-2</v>
      </c>
      <c r="E1194" s="2">
        <v>-4.683021651056044E-3</v>
      </c>
    </row>
    <row r="1195" spans="1:5" x14ac:dyDescent="0.35">
      <c r="A1195" s="1">
        <v>45923</v>
      </c>
      <c r="B1195">
        <v>3780.60009765625</v>
      </c>
      <c r="C1195">
        <v>1.2620048385381242</v>
      </c>
      <c r="D1195" s="2">
        <v>1.0610006389506373E-2</v>
      </c>
      <c r="E1195" s="2">
        <v>4.8344307658806686E-3</v>
      </c>
    </row>
    <row r="1196" spans="1:5" x14ac:dyDescent="0.35">
      <c r="A1196" s="1">
        <v>45924</v>
      </c>
      <c r="B1196">
        <v>3732.10009765625</v>
      </c>
      <c r="C1196">
        <v>1.263535630989987</v>
      </c>
      <c r="D1196" s="2">
        <v>-1.2911648948105771E-2</v>
      </c>
      <c r="E1196" s="2">
        <v>1.2122495424619832E-3</v>
      </c>
    </row>
    <row r="1197" spans="1:5" x14ac:dyDescent="0.35">
      <c r="A1197" s="1">
        <v>45925</v>
      </c>
      <c r="B1197">
        <v>3736.89990234375</v>
      </c>
      <c r="C1197">
        <v>1.2583998628281552</v>
      </c>
      <c r="D1197" s="2">
        <v>1.285260502940439E-3</v>
      </c>
      <c r="E1197" s="2">
        <v>-4.0728839210411325E-3</v>
      </c>
    </row>
    <row r="1198" spans="1:5" x14ac:dyDescent="0.35">
      <c r="A1198" s="1">
        <v>45926</v>
      </c>
      <c r="B1198">
        <v>3775.300048828125</v>
      </c>
      <c r="C1198">
        <v>1.2499374927546727</v>
      </c>
      <c r="D1198" s="2">
        <v>1.0223498096000606E-2</v>
      </c>
      <c r="E1198" s="2">
        <v>-6.7474194893461705E-3</v>
      </c>
    </row>
    <row r="1199" spans="1:5" x14ac:dyDescent="0.35">
      <c r="A1199" s="1">
        <v>45929</v>
      </c>
      <c r="B1199">
        <v>3820.89990234375</v>
      </c>
      <c r="C1199">
        <v>1.2539499625322152</v>
      </c>
      <c r="D1199" s="2">
        <v>1.2006108728818521E-2</v>
      </c>
      <c r="E1199" s="2">
        <v>3.2049948600853767E-3</v>
      </c>
    </row>
    <row r="1200" spans="1:5" x14ac:dyDescent="0.35">
      <c r="A1200" s="1">
        <v>45930</v>
      </c>
      <c r="B1200">
        <v>3840.800048828125</v>
      </c>
      <c r="C1200">
        <v>1.2543903283167588</v>
      </c>
      <c r="D1200" s="2">
        <v>5.1947195431346644E-3</v>
      </c>
      <c r="E1200" s="2">
        <v>3.5112124991532138E-4</v>
      </c>
    </row>
    <row r="1201" spans="1:5" x14ac:dyDescent="0.35">
      <c r="A1201" s="1">
        <v>45931</v>
      </c>
      <c r="B1201">
        <v>3867.5</v>
      </c>
      <c r="C1201">
        <v>1.255965873382872</v>
      </c>
      <c r="D1201" s="2">
        <v>6.9276125174816284E-3</v>
      </c>
      <c r="E1201" s="2">
        <v>1.2552364257455036E-3</v>
      </c>
    </row>
    <row r="1202" spans="1:5" x14ac:dyDescent="0.35">
      <c r="A1202" s="1">
        <v>45932</v>
      </c>
      <c r="B1202">
        <v>3839.699951171875</v>
      </c>
      <c r="C1202">
        <v>1.2548468649539029</v>
      </c>
      <c r="D1202" s="2">
        <v>-7.2140776340165556E-3</v>
      </c>
      <c r="E1202" s="2">
        <v>-8.9135162170540046E-4</v>
      </c>
    </row>
    <row r="1203" spans="1:5" x14ac:dyDescent="0.35">
      <c r="A1203" s="1">
        <v>45933</v>
      </c>
      <c r="B1203">
        <v>3880.800048828125</v>
      </c>
      <c r="C1203">
        <v>1.2546736308869046</v>
      </c>
      <c r="D1203" s="2">
        <v>1.0647104699776156E-2</v>
      </c>
      <c r="E1203" s="2">
        <v>-1.3806148828870689E-4</v>
      </c>
    </row>
    <row r="1204" spans="1:5" x14ac:dyDescent="0.35">
      <c r="A1204" s="1">
        <v>45936</v>
      </c>
      <c r="B1204">
        <v>3948.5</v>
      </c>
      <c r="C1204">
        <v>1.2544060848342036</v>
      </c>
      <c r="D1204" s="2">
        <v>1.7294429424654912E-2</v>
      </c>
      <c r="E1204" s="2">
        <v>-2.1326229855411966E-4</v>
      </c>
    </row>
    <row r="1205" spans="1:5" x14ac:dyDescent="0.35">
      <c r="A1205" s="1">
        <v>45937</v>
      </c>
      <c r="B1205">
        <v>3976.60009765625</v>
      </c>
      <c r="C1205">
        <v>1.2580040291302503</v>
      </c>
      <c r="D1205" s="2">
        <v>7.0914474440700913E-3</v>
      </c>
      <c r="E1205" s="2">
        <v>2.8641396845458609E-3</v>
      </c>
    </row>
    <row r="1206" spans="1:5" x14ac:dyDescent="0.35">
      <c r="A1206" s="1">
        <v>45938</v>
      </c>
      <c r="B1206">
        <v>4043.300048828125</v>
      </c>
      <c r="C1206">
        <v>1.2522070078952139</v>
      </c>
      <c r="D1206" s="2">
        <v>1.6633994907520277E-2</v>
      </c>
      <c r="E1206" s="2">
        <v>-4.6187602995570766E-3</v>
      </c>
    </row>
    <row r="1207" spans="1:5" x14ac:dyDescent="0.35">
      <c r="A1207" s="1">
        <v>45939</v>
      </c>
      <c r="B1207">
        <v>3946.300048828125</v>
      </c>
      <c r="C1207">
        <v>1.2476606014201448</v>
      </c>
      <c r="D1207" s="2">
        <v>-2.4282758867578195E-2</v>
      </c>
      <c r="E1207" s="2">
        <v>-3.6373218090280054E-3</v>
      </c>
    </row>
    <row r="1208" spans="1:5" x14ac:dyDescent="0.35">
      <c r="A1208" s="1">
        <v>45940</v>
      </c>
      <c r="B1208">
        <v>3975.89990234375</v>
      </c>
      <c r="C1208">
        <v>1.2404331796853421</v>
      </c>
      <c r="D1208" s="2">
        <v>7.4726695710458178E-3</v>
      </c>
      <c r="E1208" s="2">
        <v>-5.8096219023799217E-3</v>
      </c>
    </row>
    <row r="1209" spans="1:5" x14ac:dyDescent="0.35">
      <c r="A1209" s="1">
        <v>45943</v>
      </c>
      <c r="B1209">
        <v>4108.60009765625</v>
      </c>
      <c r="C1209">
        <v>1.2463854766499445</v>
      </c>
      <c r="D1209" s="2">
        <v>3.2831248634458091E-2</v>
      </c>
      <c r="E1209" s="2">
        <v>4.7870867595724157E-3</v>
      </c>
    </row>
    <row r="1210" spans="1:5" x14ac:dyDescent="0.35">
      <c r="A1210" s="1">
        <v>45944</v>
      </c>
      <c r="B1210">
        <v>4138.7001953125</v>
      </c>
      <c r="C1210">
        <v>1.2433326339970654</v>
      </c>
      <c r="D1210" s="2">
        <v>7.2994144107656573E-3</v>
      </c>
      <c r="E1210" s="2">
        <v>-2.4523613093595576E-3</v>
      </c>
    </row>
    <row r="1211" spans="1:5" x14ac:dyDescent="0.35">
      <c r="A1211" s="1">
        <v>45945</v>
      </c>
      <c r="B1211">
        <v>4176.89990234375</v>
      </c>
      <c r="C1211">
        <v>1.2476139328208293</v>
      </c>
      <c r="D1211" s="2">
        <v>9.1875451653533977E-3</v>
      </c>
      <c r="E1211" s="2">
        <v>3.4374908691896032E-3</v>
      </c>
    </row>
    <row r="1212" spans="1:5" x14ac:dyDescent="0.35">
      <c r="A1212" s="1">
        <v>45946</v>
      </c>
      <c r="B1212">
        <v>4280.2001953125</v>
      </c>
      <c r="C1212">
        <v>1.2554140107847334</v>
      </c>
      <c r="D1212" s="2">
        <v>2.4430461884398309E-2</v>
      </c>
      <c r="E1212" s="2">
        <v>6.2325338660143602E-3</v>
      </c>
    </row>
    <row r="1213" spans="1:5" x14ac:dyDescent="0.35">
      <c r="A1213" s="1">
        <v>45947</v>
      </c>
      <c r="B1213">
        <v>4189.89990234375</v>
      </c>
      <c r="C1213">
        <v>1.2628973338734031</v>
      </c>
      <c r="D1213" s="2">
        <v>-2.1322939112277551E-2</v>
      </c>
      <c r="E1213" s="2">
        <v>5.9431452993717283E-3</v>
      </c>
    </row>
    <row r="1214" spans="1:5" x14ac:dyDescent="0.35">
      <c r="A1214" s="1">
        <v>45950</v>
      </c>
      <c r="B1214">
        <v>4336.39990234375</v>
      </c>
      <c r="C1214">
        <v>1.2600965087656959</v>
      </c>
      <c r="D1214" s="2">
        <v>3.436764429162454E-2</v>
      </c>
      <c r="E1214" s="2">
        <v>-2.2202402644987984E-3</v>
      </c>
    </row>
    <row r="1215" spans="1:5" x14ac:dyDescent="0.35">
      <c r="A1215" s="1">
        <v>45951</v>
      </c>
      <c r="B1215">
        <v>4087.699951171875</v>
      </c>
      <c r="C1215">
        <v>1.2619888905487524</v>
      </c>
      <c r="D1215" s="2">
        <v>-5.9062035540049886E-2</v>
      </c>
      <c r="E1215" s="2">
        <v>1.5006487398875204E-3</v>
      </c>
    </row>
    <row r="1216" spans="1:5" x14ac:dyDescent="0.35">
      <c r="A1216" s="1">
        <v>45952</v>
      </c>
      <c r="B1216">
        <v>4044.39990234375</v>
      </c>
      <c r="C1216">
        <v>1.2551776064294911</v>
      </c>
      <c r="D1216" s="2">
        <v>-1.0649268655763889E-2</v>
      </c>
      <c r="E1216" s="2">
        <v>-5.4118793903803215E-3</v>
      </c>
    </row>
    <row r="1217" spans="1:5" x14ac:dyDescent="0.35">
      <c r="A1217" s="1">
        <v>45953</v>
      </c>
      <c r="B1217">
        <v>4125.5</v>
      </c>
      <c r="C1217">
        <v>1.2561393704514481</v>
      </c>
      <c r="D1217" s="2">
        <v>1.9854040473195667E-2</v>
      </c>
      <c r="E1217" s="2">
        <v>7.6594398702424646E-4</v>
      </c>
    </row>
    <row r="1218" spans="1:5" x14ac:dyDescent="0.35">
      <c r="A1218" s="1">
        <v>45954</v>
      </c>
      <c r="B1218">
        <v>4118.39990234375</v>
      </c>
      <c r="C1218">
        <v>1.2577350609994027</v>
      </c>
      <c r="D1218" s="2">
        <v>-1.7225098547725875E-3</v>
      </c>
      <c r="E1218" s="2">
        <v>1.26950713392747E-3</v>
      </c>
    </row>
    <row r="1219" spans="1:5" x14ac:dyDescent="0.35">
      <c r="A1219" s="1">
        <v>45957</v>
      </c>
      <c r="B1219">
        <v>4001.89990234375</v>
      </c>
      <c r="C1219">
        <v>1.2562024807302279</v>
      </c>
      <c r="D1219" s="2">
        <v>-2.8695490766858036E-2</v>
      </c>
      <c r="E1219" s="2">
        <v>-1.2192669337226035E-3</v>
      </c>
    </row>
    <row r="1220" spans="1:5" x14ac:dyDescent="0.35">
      <c r="A1220" s="1">
        <v>45958</v>
      </c>
      <c r="B1220">
        <v>3966.199951171875</v>
      </c>
      <c r="C1220">
        <v>1.2584789650615873</v>
      </c>
      <c r="D1220" s="2">
        <v>-8.9607787820975386E-3</v>
      </c>
      <c r="E1220" s="2">
        <v>1.8105553345928497E-3</v>
      </c>
    </row>
    <row r="1221" spans="1:5" x14ac:dyDescent="0.35">
      <c r="A1221" s="1">
        <v>45959</v>
      </c>
      <c r="B1221">
        <v>3983.699951171875</v>
      </c>
      <c r="C1221">
        <v>1.261304456346211</v>
      </c>
      <c r="D1221" s="2">
        <v>4.4025782667433981E-3</v>
      </c>
      <c r="E1221" s="2">
        <v>2.2426470821616615E-3</v>
      </c>
    </row>
    <row r="1222" spans="1:5" x14ac:dyDescent="0.35">
      <c r="A1222" s="1">
        <v>45960</v>
      </c>
      <c r="B1222">
        <v>4001.300048828125</v>
      </c>
      <c r="C1222">
        <v>1.2503126113907475</v>
      </c>
      <c r="D1222" s="2">
        <v>4.4082970966196717E-3</v>
      </c>
      <c r="E1222" s="2">
        <v>-8.7528590824370398E-3</v>
      </c>
    </row>
    <row r="1223" spans="1:5" x14ac:dyDescent="0.35">
      <c r="A1223" s="1">
        <v>45961</v>
      </c>
      <c r="B1223">
        <v>3982.199951171875</v>
      </c>
      <c r="C1223">
        <v>1.2475205133320579</v>
      </c>
      <c r="D1223" s="2">
        <v>-4.7849023856938715E-3</v>
      </c>
      <c r="E1223" s="2">
        <v>-2.2356170986437196E-3</v>
      </c>
    </row>
    <row r="1224" spans="1:5" x14ac:dyDescent="0.35">
      <c r="A1224" s="1">
        <v>45964</v>
      </c>
      <c r="B1224">
        <v>4000.300048828125</v>
      </c>
      <c r="C1224">
        <v>1.2423903736238966</v>
      </c>
      <c r="D1224" s="2">
        <v>4.5349523774452045E-3</v>
      </c>
      <c r="E1224" s="2">
        <v>-4.1207474487716137E-3</v>
      </c>
    </row>
    <row r="1225" spans="1:5" x14ac:dyDescent="0.35">
      <c r="A1225" s="1">
        <v>45965</v>
      </c>
      <c r="B1225">
        <v>3947.699951171875</v>
      </c>
      <c r="C1225">
        <v>1.2374246321701776</v>
      </c>
      <c r="D1225" s="2">
        <v>-1.3236252040332198E-2</v>
      </c>
      <c r="E1225" s="2">
        <v>-4.0049343031221948E-3</v>
      </c>
    </row>
    <row r="1226" spans="1:5" x14ac:dyDescent="0.35">
      <c r="A1226" s="1">
        <v>45966</v>
      </c>
      <c r="B1226">
        <v>3980.300048828125</v>
      </c>
      <c r="C1226">
        <v>1.2340651740140423</v>
      </c>
      <c r="D1226" s="2">
        <v>8.2240871342075354E-3</v>
      </c>
      <c r="E1226" s="2">
        <v>-2.7185709742934285E-3</v>
      </c>
    </row>
    <row r="1227" spans="1:5" x14ac:dyDescent="0.35">
      <c r="A1227" s="1">
        <v>45967</v>
      </c>
      <c r="B1227">
        <v>3979.89990234375</v>
      </c>
      <c r="C1227">
        <v>1.234979571240812</v>
      </c>
      <c r="D1227" s="2">
        <v>-1.005367923334668E-4</v>
      </c>
      <c r="E1227" s="2">
        <v>7.4068910280538009E-4</v>
      </c>
    </row>
    <row r="1228" spans="1:5" x14ac:dyDescent="0.35">
      <c r="A1228" s="1">
        <v>45968</v>
      </c>
      <c r="B1228">
        <v>3999.39990234375</v>
      </c>
      <c r="C1228">
        <v>1.240848774898567</v>
      </c>
      <c r="D1228" s="2">
        <v>4.8876566358512907E-3</v>
      </c>
      <c r="E1228" s="2">
        <v>4.7412129047132287E-3</v>
      </c>
    </row>
    <row r="1229" spans="1:5" x14ac:dyDescent="0.35">
      <c r="A1229" s="1">
        <v>45971</v>
      </c>
      <c r="B1229">
        <v>4111.7998046875</v>
      </c>
      <c r="C1229">
        <v>1.2390192163298814</v>
      </c>
      <c r="D1229" s="2">
        <v>2.7716515886168476E-2</v>
      </c>
      <c r="E1229" s="2">
        <v>-1.4755292677656932E-3</v>
      </c>
    </row>
    <row r="1230" spans="1:5" x14ac:dyDescent="0.35">
      <c r="A1230" s="1">
        <v>45972</v>
      </c>
      <c r="B1230">
        <v>4106.7998046875</v>
      </c>
      <c r="C1230">
        <v>1.2419891914204428</v>
      </c>
      <c r="D1230" s="2">
        <v>-1.2167524528548244E-3</v>
      </c>
      <c r="E1230" s="2">
        <v>2.394168838729211E-3</v>
      </c>
    </row>
    <row r="1231" spans="1:5" x14ac:dyDescent="0.35">
      <c r="A1231" s="1">
        <v>45973</v>
      </c>
      <c r="B1231">
        <v>4204.39990234375</v>
      </c>
      <c r="C1231">
        <v>1.2494846137822553</v>
      </c>
      <c r="D1231" s="2">
        <v>2.3487483855553541E-2</v>
      </c>
      <c r="E1231" s="2">
        <v>6.0168764039080303E-3</v>
      </c>
    </row>
    <row r="1232" spans="1:5" x14ac:dyDescent="0.35">
      <c r="A1232" s="1">
        <v>45974</v>
      </c>
      <c r="B1232">
        <v>4186.89990234375</v>
      </c>
      <c r="C1232">
        <v>1.253415601323193</v>
      </c>
      <c r="D1232" s="2">
        <v>-4.1709927611227639E-3</v>
      </c>
      <c r="E1232" s="2">
        <v>3.1411486158391361E-3</v>
      </c>
    </row>
    <row r="1233" spans="1:5" x14ac:dyDescent="0.35">
      <c r="A1233" s="1">
        <v>45975</v>
      </c>
      <c r="B1233">
        <v>4087.60009765625</v>
      </c>
      <c r="C1233">
        <v>1.2606048511134911</v>
      </c>
      <c r="D1233" s="2">
        <v>-2.4002555332014903E-2</v>
      </c>
      <c r="E1233" s="2">
        <v>5.7193404139001102E-3</v>
      </c>
    </row>
    <row r="1234" spans="1:5" x14ac:dyDescent="0.35">
      <c r="A1234" s="1">
        <v>45978</v>
      </c>
      <c r="B1234">
        <v>4068.300048828125</v>
      </c>
      <c r="C1234">
        <v>1.2590018750834377</v>
      </c>
      <c r="D1234" s="2">
        <v>-4.7327908648018505E-3</v>
      </c>
      <c r="E1234" s="2">
        <v>-1.2724019424585795E-3</v>
      </c>
    </row>
    <row r="1235" spans="1:5" x14ac:dyDescent="0.35">
      <c r="A1235" s="1">
        <v>45979</v>
      </c>
      <c r="B1235">
        <v>4061.300048828125</v>
      </c>
      <c r="C1235">
        <v>1.2559027868750603</v>
      </c>
      <c r="D1235" s="2">
        <v>-1.7221023533426794E-3</v>
      </c>
      <c r="E1235" s="2">
        <v>-2.4645783388518596E-3</v>
      </c>
    </row>
    <row r="1236" spans="1:5" x14ac:dyDescent="0.35">
      <c r="A1236" s="1">
        <v>45980</v>
      </c>
      <c r="B1236">
        <v>4077.699951171875</v>
      </c>
      <c r="C1236">
        <v>1.2496876007439184</v>
      </c>
      <c r="D1236" s="2">
        <v>4.0299605698671222E-3</v>
      </c>
      <c r="E1236" s="2">
        <v>-4.961065391440582E-3</v>
      </c>
    </row>
    <row r="1237" spans="1:5" x14ac:dyDescent="0.35">
      <c r="A1237" s="1">
        <v>45981</v>
      </c>
      <c r="B1237">
        <v>4056.5</v>
      </c>
      <c r="C1237">
        <v>1.2415882682260879</v>
      </c>
      <c r="D1237" s="2">
        <v>-5.2125591455094164E-3</v>
      </c>
      <c r="E1237" s="2">
        <v>-6.5021791879539262E-3</v>
      </c>
    </row>
    <row r="1238" spans="1:5" x14ac:dyDescent="0.35">
      <c r="A1238" s="1">
        <v>45982</v>
      </c>
      <c r="B1238">
        <v>4076.699951171875</v>
      </c>
      <c r="C1238">
        <v>1.2414957489104399</v>
      </c>
      <c r="D1238" s="2">
        <v>4.9672927820763558E-3</v>
      </c>
      <c r="E1238" s="2">
        <v>-7.4519682018293508E-5</v>
      </c>
    </row>
    <row r="1239" spans="1:5" x14ac:dyDescent="0.35">
      <c r="A1239" s="1">
        <v>45985</v>
      </c>
      <c r="B1239">
        <v>4091.89990234375</v>
      </c>
      <c r="C1239">
        <v>1.2365983891628292</v>
      </c>
      <c r="D1239" s="2">
        <v>3.7215603622990662E-3</v>
      </c>
      <c r="E1239" s="2">
        <v>-3.9525262968035267E-3</v>
      </c>
    </row>
    <row r="1240" spans="1:5" x14ac:dyDescent="0.35">
      <c r="A1240" s="1">
        <v>45986</v>
      </c>
      <c r="B1240">
        <v>4139.2001953125</v>
      </c>
      <c r="C1240">
        <v>1.2366900888051024</v>
      </c>
      <c r="D1240" s="2">
        <v>1.1493193638318831E-2</v>
      </c>
      <c r="E1240" s="2">
        <v>7.4151998953777678E-5</v>
      </c>
    </row>
    <row r="1241" spans="1:5" x14ac:dyDescent="0.35">
      <c r="A1241" s="1">
        <v>45987</v>
      </c>
      <c r="B1241">
        <v>4165.2001953125</v>
      </c>
      <c r="C1241">
        <v>1.2376543958960302</v>
      </c>
      <c r="D1241" s="2">
        <v>6.2617609294315637E-3</v>
      </c>
      <c r="E1241" s="2">
        <v>7.7944453224741965E-4</v>
      </c>
    </row>
    <row r="1242" spans="1:5" x14ac:dyDescent="0.35">
      <c r="A1242" s="1">
        <v>45989</v>
      </c>
      <c r="B1242">
        <v>4218.2998046875</v>
      </c>
      <c r="C1242">
        <v>1.24285359125763</v>
      </c>
      <c r="D1242" s="2">
        <v>1.2667816416397979E-2</v>
      </c>
      <c r="E1242" s="2">
        <v>4.192046953627071E-3</v>
      </c>
    </row>
    <row r="1243" spans="1:5" x14ac:dyDescent="0.35">
      <c r="A1243" s="1">
        <v>45992</v>
      </c>
      <c r="B1243">
        <v>4239.2998046875</v>
      </c>
      <c r="C1243">
        <v>1.2448029201185444</v>
      </c>
      <c r="D1243" s="2">
        <v>4.9659582212904707E-3</v>
      </c>
      <c r="E1243" s="2">
        <v>1.5672013004867759E-3</v>
      </c>
    </row>
    <row r="1244" spans="1:5" x14ac:dyDescent="0.35">
      <c r="A1244" s="1">
        <v>45993</v>
      </c>
      <c r="B1244">
        <v>4186.60009765625</v>
      </c>
      <c r="C1244">
        <v>1.24285359125763</v>
      </c>
      <c r="D1244" s="2">
        <v>-1.2509143198605851E-2</v>
      </c>
      <c r="E1244" s="2">
        <v>-1.5672013004867972E-3</v>
      </c>
    </row>
    <row r="1245" spans="1:5" x14ac:dyDescent="0.35">
      <c r="A1245" s="1">
        <v>45994</v>
      </c>
      <c r="B1245">
        <v>4199.2998046875</v>
      </c>
      <c r="C1245">
        <v>1.2455471353749838</v>
      </c>
      <c r="D1245" s="2">
        <v>3.0288262173034956E-3</v>
      </c>
      <c r="E1245" s="2">
        <v>2.1648805520054939E-3</v>
      </c>
    </row>
    <row r="1246" spans="1:5" x14ac:dyDescent="0.35">
      <c r="A1246" s="1">
        <v>45995</v>
      </c>
      <c r="B1246">
        <v>4211.7998046875</v>
      </c>
      <c r="C1246">
        <v>1.250375137523098</v>
      </c>
      <c r="D1246" s="2">
        <v>2.9722651693542806E-3</v>
      </c>
      <c r="E1246" s="2">
        <v>3.8687167643405907E-3</v>
      </c>
    </row>
    <row r="1247" spans="1:5" x14ac:dyDescent="0.35">
      <c r="A1247" s="1">
        <v>45996</v>
      </c>
      <c r="B1247">
        <v>4212.89990234375</v>
      </c>
      <c r="C1247">
        <v>1.2441214959432165</v>
      </c>
      <c r="D1247" s="2">
        <v>2.6116008896670296E-4</v>
      </c>
      <c r="E1247" s="2">
        <v>-5.0139612114565571E-3</v>
      </c>
    </row>
    <row r="1248" spans="1:5" x14ac:dyDescent="0.35">
      <c r="A1248" s="1">
        <v>45999</v>
      </c>
      <c r="B1248">
        <v>4187.2001953125</v>
      </c>
      <c r="C1248">
        <v>1.242467567918637</v>
      </c>
      <c r="D1248" s="2">
        <v>-6.1189240409394172E-3</v>
      </c>
      <c r="E1248" s="2">
        <v>-1.3302787280145647E-3</v>
      </c>
    </row>
    <row r="1249" spans="1:5" x14ac:dyDescent="0.35">
      <c r="A1249" s="1">
        <v>46000</v>
      </c>
      <c r="B1249">
        <v>4206.7001953125</v>
      </c>
      <c r="C1249">
        <v>1.2397134737392801</v>
      </c>
      <c r="D1249" s="2">
        <v>4.6462393338665645E-3</v>
      </c>
      <c r="E1249" s="2">
        <v>-2.2190930180497688E-3</v>
      </c>
    </row>
    <row r="1250" spans="1:5" x14ac:dyDescent="0.35">
      <c r="A1250" s="1">
        <v>46001</v>
      </c>
      <c r="B1250">
        <v>4196.39990234375</v>
      </c>
      <c r="C1250">
        <v>1.240848774898567</v>
      </c>
      <c r="D1250" s="2">
        <v>-2.4515471689845261E-3</v>
      </c>
      <c r="E1250" s="2">
        <v>9.1535799126265464E-4</v>
      </c>
    </row>
    <row r="1251" spans="1:5" x14ac:dyDescent="0.35">
      <c r="A1251" s="1">
        <v>46002</v>
      </c>
      <c r="B1251">
        <v>4285.5</v>
      </c>
      <c r="C1251">
        <v>1.2509694944685372</v>
      </c>
      <c r="D1251" s="2">
        <v>2.1010239753042382E-2</v>
      </c>
      <c r="E1251" s="2">
        <v>8.1232049277944942E-3</v>
      </c>
    </row>
    <row r="1252" spans="1:5" x14ac:dyDescent="0.35">
      <c r="A1252" s="1">
        <v>46003</v>
      </c>
      <c r="B1252">
        <v>4300.10009765625</v>
      </c>
      <c r="C1252">
        <v>1.2581939416083137</v>
      </c>
      <c r="D1252" s="2">
        <v>3.4010695964849522E-3</v>
      </c>
      <c r="E1252" s="2">
        <v>5.7584667458570214E-3</v>
      </c>
    </row>
    <row r="1253" spans="1:5" x14ac:dyDescent="0.35">
      <c r="A1253" s="1">
        <v>46006</v>
      </c>
      <c r="B1253">
        <v>4306.7001953125</v>
      </c>
      <c r="C1253">
        <v>1.2560604680103253</v>
      </c>
      <c r="D1253" s="2">
        <v>1.5336939920357251E-3</v>
      </c>
      <c r="E1253" s="2">
        <v>-1.6971028086005537E-3</v>
      </c>
    </row>
    <row r="1254" spans="1:5" x14ac:dyDescent="0.35">
      <c r="A1254" s="1">
        <v>46007</v>
      </c>
      <c r="B1254">
        <v>4304.5</v>
      </c>
      <c r="C1254">
        <v>1.2562655973508314</v>
      </c>
      <c r="D1254" s="2">
        <v>-5.1100782944880018E-4</v>
      </c>
      <c r="E1254" s="2">
        <v>1.6329834235306488E-4</v>
      </c>
    </row>
    <row r="1255" spans="1:5" x14ac:dyDescent="0.35">
      <c r="A1255" s="1">
        <v>46008</v>
      </c>
      <c r="B1255">
        <v>4347.5</v>
      </c>
      <c r="C1255">
        <v>1.2575452870130082</v>
      </c>
      <c r="D1255" s="2">
        <v>9.939980130428714E-3</v>
      </c>
      <c r="E1255" s="2">
        <v>1.0181273226864604E-3</v>
      </c>
    </row>
    <row r="1256" spans="1:5" x14ac:dyDescent="0.35">
      <c r="A1256" s="1">
        <v>46009</v>
      </c>
      <c r="B1256">
        <v>4339.5</v>
      </c>
      <c r="C1256">
        <v>1.2575452870130082</v>
      </c>
      <c r="D1256" s="2">
        <v>-1.8418331441386099E-3</v>
      </c>
      <c r="E1256" s="2">
        <v>0</v>
      </c>
    </row>
    <row r="1257" spans="1:5" x14ac:dyDescent="0.35">
      <c r="A1257" s="1">
        <v>46010</v>
      </c>
      <c r="B1257">
        <v>4361.39990234375</v>
      </c>
      <c r="C1257">
        <v>1.2594300080990735</v>
      </c>
      <c r="D1257" s="2">
        <v>5.0339502433122251E-3</v>
      </c>
      <c r="E1257" s="2">
        <v>1.4976082141008055E-3</v>
      </c>
    </row>
    <row r="1258" spans="1:5" x14ac:dyDescent="0.35">
      <c r="A1258" s="1">
        <v>46013</v>
      </c>
      <c r="B1258">
        <v>4444.60009765625</v>
      </c>
      <c r="C1258">
        <v>1.2565497477046561</v>
      </c>
      <c r="D1258" s="2">
        <v>1.8896813791643464E-2</v>
      </c>
      <c r="E1258" s="2">
        <v>-2.2895745850127353E-3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BECE3-2ED3-44EF-ADA0-C5707ECAE08E}">
  <sheetPr codeName="Sheet8"/>
  <dimension ref="A1:B6"/>
  <sheetViews>
    <sheetView zoomScale="81" workbookViewId="0">
      <selection activeCell="C14" sqref="C14"/>
    </sheetView>
  </sheetViews>
  <sheetFormatPr defaultRowHeight="14.5" x14ac:dyDescent="0.35"/>
  <cols>
    <col min="1" max="1" width="20.36328125" bestFit="1" customWidth="1"/>
    <col min="2" max="2" width="6.6328125" bestFit="1" customWidth="1"/>
  </cols>
  <sheetData>
    <row r="1" spans="1:2" x14ac:dyDescent="0.35">
      <c r="A1" s="23" t="s">
        <v>2417</v>
      </c>
      <c r="B1" s="23" t="s">
        <v>2418</v>
      </c>
    </row>
    <row r="2" spans="1:2" x14ac:dyDescent="0.35">
      <c r="A2" t="s">
        <v>2419</v>
      </c>
      <c r="B2" s="24">
        <v>6.9074149448012658E-4</v>
      </c>
    </row>
    <row r="3" spans="1:2" x14ac:dyDescent="0.35">
      <c r="A3" t="s">
        <v>2420</v>
      </c>
      <c r="B3" s="24">
        <v>1.0019933006770997E-2</v>
      </c>
    </row>
    <row r="4" spans="1:2" x14ac:dyDescent="0.35">
      <c r="A4" t="s">
        <v>2421</v>
      </c>
      <c r="B4" s="24">
        <v>6.905807519118759E-2</v>
      </c>
    </row>
    <row r="5" spans="1:2" x14ac:dyDescent="0.35">
      <c r="A5" t="s">
        <v>2416</v>
      </c>
      <c r="B5" s="24">
        <v>0.13684774987900755</v>
      </c>
    </row>
    <row r="6" spans="1:2" x14ac:dyDescent="0.35">
      <c r="A6" t="s">
        <v>2422</v>
      </c>
      <c r="B6" s="24">
        <v>4.7690177491117192E-3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4C839-5352-4478-8F61-951D9D5A7B09}">
  <sheetPr codeName="Sheet3"/>
  <dimension ref="A1:I1892"/>
  <sheetViews>
    <sheetView tabSelected="1" zoomScale="61" workbookViewId="0">
      <selection activeCell="H18" sqref="H18"/>
    </sheetView>
  </sheetViews>
  <sheetFormatPr defaultRowHeight="14.5" x14ac:dyDescent="0.35"/>
  <cols>
    <col min="1" max="1" width="10.81640625" customWidth="1"/>
    <col min="3" max="3" width="15.36328125" customWidth="1"/>
    <col min="4" max="4" width="11.26953125" customWidth="1"/>
    <col min="5" max="5" width="11.6328125" customWidth="1"/>
    <col min="7" max="7" width="11.1796875" customWidth="1"/>
    <col min="8" max="8" width="11.26953125" customWidth="1"/>
  </cols>
  <sheetData>
    <row r="1" spans="1:9" x14ac:dyDescent="0.35">
      <c r="A1" s="3" t="s">
        <v>0</v>
      </c>
      <c r="B1" s="3" t="s">
        <v>2396</v>
      </c>
      <c r="C1" s="3" t="s">
        <v>2397</v>
      </c>
      <c r="D1" s="3" t="s">
        <v>2399</v>
      </c>
      <c r="E1" s="3" t="s">
        <v>2398</v>
      </c>
    </row>
    <row r="2" spans="1:9" x14ac:dyDescent="0.35">
      <c r="A2" s="1">
        <f>Calculs!A2</f>
        <v>44187</v>
      </c>
      <c r="B2">
        <f>Calculs!B2</f>
        <v>1866.5999755859375</v>
      </c>
      <c r="C2">
        <f>Calculs!C2</f>
        <v>1.1293310013288334</v>
      </c>
      <c r="G2" s="4" t="s">
        <v>2400</v>
      </c>
      <c r="H2" s="6" t="s">
        <v>2401</v>
      </c>
      <c r="I2" s="7" t="s">
        <v>2402</v>
      </c>
    </row>
    <row r="3" spans="1:9" x14ac:dyDescent="0.35">
      <c r="A3" s="1">
        <f>Calculs!A3</f>
        <v>44188</v>
      </c>
      <c r="B3">
        <f>Calculs!B3</f>
        <v>1874.699951171875</v>
      </c>
      <c r="C3">
        <f>Calculs!C3</f>
        <v>1.1263036963593609</v>
      </c>
      <c r="D3">
        <f>LN(B3/B2)</f>
        <v>4.3300395050943456E-3</v>
      </c>
      <c r="E3">
        <f>LN(C3/C2)</f>
        <v>-2.6842172539949766E-3</v>
      </c>
      <c r="G3" s="8" t="s">
        <v>2403</v>
      </c>
      <c r="H3">
        <f>AVERAGE(D:D)</f>
        <v>6.9074149448012658E-4</v>
      </c>
      <c r="I3" s="5">
        <f>AVERAGE(E:E)</f>
        <v>8.4987457262014133E-5</v>
      </c>
    </row>
    <row r="4" spans="1:9" x14ac:dyDescent="0.35">
      <c r="A4" s="1">
        <f>Calculs!A4</f>
        <v>44189</v>
      </c>
      <c r="B4">
        <f>Calculs!B4</f>
        <v>1879.9000244140625</v>
      </c>
      <c r="C4">
        <f>Calculs!C4</f>
        <v>1.1262529629463047</v>
      </c>
      <c r="D4">
        <f t="shared" ref="D4:D67" si="0">LN(B4/B3)</f>
        <v>2.7699763494986331E-3</v>
      </c>
      <c r="E4">
        <f t="shared" ref="E4:E67" si="1">LN(C4/C3)</f>
        <v>-4.504518264179405E-5</v>
      </c>
      <c r="G4" s="9" t="s">
        <v>2404</v>
      </c>
      <c r="H4">
        <f>STDEV(D:D)</f>
        <v>1.0019933006770997E-2</v>
      </c>
      <c r="I4" s="5">
        <f>STDEV(E:E)</f>
        <v>5.0564023712778598E-3</v>
      </c>
    </row>
    <row r="5" spans="1:9" x14ac:dyDescent="0.35">
      <c r="A5" s="1">
        <f>Calculs!A5</f>
        <v>44190</v>
      </c>
      <c r="B5">
        <f>Calculs!B5</f>
        <v>1877.199951171875</v>
      </c>
      <c r="C5">
        <f>Calculs!C5</f>
        <v>1.1224604133239828</v>
      </c>
      <c r="D5">
        <f t="shared" si="0"/>
        <v>-1.4373179976945852E-3</v>
      </c>
      <c r="E5">
        <f t="shared" si="1"/>
        <v>-3.3730872580047372E-3</v>
      </c>
      <c r="G5" s="9" t="s">
        <v>2405</v>
      </c>
      <c r="H5">
        <f>MIN(D:D)</f>
        <v>-5.9062035540049886E-2</v>
      </c>
      <c r="I5" s="5">
        <f>MIN(E:E)</f>
        <v>-2.0818779638818511E-2</v>
      </c>
    </row>
    <row r="6" spans="1:9" x14ac:dyDescent="0.35">
      <c r="A6" s="1">
        <f>Calculs!A6</f>
        <v>44194</v>
      </c>
      <c r="B6">
        <f>Calculs!B6</f>
        <v>1879.699951171875</v>
      </c>
      <c r="C6">
        <f>Calculs!C6</f>
        <v>1.125745804542259</v>
      </c>
      <c r="D6">
        <f t="shared" si="0"/>
        <v>1.3308847368819284E-3</v>
      </c>
      <c r="E6">
        <f t="shared" si="1"/>
        <v>2.9226798954953507E-3</v>
      </c>
      <c r="G6" s="9" t="s">
        <v>2406</v>
      </c>
      <c r="H6">
        <f>MAX(D:D)</f>
        <v>3.436764429162454E-2</v>
      </c>
      <c r="I6" s="5">
        <f>MAX(E:E)</f>
        <v>4.1396861997215886E-2</v>
      </c>
    </row>
    <row r="7" spans="1:9" x14ac:dyDescent="0.35">
      <c r="A7" s="1">
        <f>Calculs!A7</f>
        <v>44195</v>
      </c>
      <c r="B7">
        <f>Calculs!B7</f>
        <v>1891</v>
      </c>
      <c r="C7">
        <f>Calculs!C7</f>
        <v>1.1310937421731404</v>
      </c>
      <c r="D7">
        <f t="shared" si="0"/>
        <v>5.9936260124601824E-3</v>
      </c>
      <c r="E7">
        <f t="shared" si="1"/>
        <v>4.7393246442810977E-3</v>
      </c>
      <c r="G7" s="10"/>
      <c r="I7" s="5"/>
    </row>
    <row r="8" spans="1:9" x14ac:dyDescent="0.35">
      <c r="A8" s="1">
        <f>Calculs!A8</f>
        <v>44196</v>
      </c>
      <c r="B8">
        <f>Calculs!B8</f>
        <v>1893.0999755859375</v>
      </c>
      <c r="C8">
        <f>Calculs!C8</f>
        <v>1.1343270100222724</v>
      </c>
      <c r="D8">
        <f t="shared" si="0"/>
        <v>1.1098944610659881E-3</v>
      </c>
      <c r="E8">
        <f t="shared" si="1"/>
        <v>2.8544543360105169E-3</v>
      </c>
      <c r="G8" s="9" t="s">
        <v>2407</v>
      </c>
      <c r="H8">
        <f>CORREL(D:D,E:E)</f>
        <v>6.905807519118759E-2</v>
      </c>
      <c r="I8" s="5"/>
    </row>
    <row r="9" spans="1:9" x14ac:dyDescent="0.35">
      <c r="A9" s="1">
        <f>Calculs!A9</f>
        <v>44200</v>
      </c>
      <c r="B9">
        <f>Calculs!B9</f>
        <v>1944.699951171875</v>
      </c>
      <c r="C9">
        <f>Calculs!C9</f>
        <v>1.1323746238768615</v>
      </c>
      <c r="D9">
        <f t="shared" si="0"/>
        <v>2.6892014283005597E-2</v>
      </c>
      <c r="E9">
        <f t="shared" si="1"/>
        <v>-1.7226675086255815E-3</v>
      </c>
      <c r="G9" s="10"/>
      <c r="I9" s="5"/>
    </row>
    <row r="10" spans="1:9" x14ac:dyDescent="0.35">
      <c r="A10" s="1">
        <f>Calculs!A10</f>
        <v>44201</v>
      </c>
      <c r="B10">
        <f>Calculs!B10</f>
        <v>1952.699951171875</v>
      </c>
      <c r="C10">
        <f>Calculs!C10</f>
        <v>1.134764636597944</v>
      </c>
      <c r="D10">
        <f t="shared" si="0"/>
        <v>4.1053068384807835E-3</v>
      </c>
      <c r="E10">
        <f t="shared" si="1"/>
        <v>2.1083959403084629E-3</v>
      </c>
      <c r="G10" s="9" t="s">
        <v>2408</v>
      </c>
      <c r="H10">
        <f>SLOPE(D:D,E:E)</f>
        <v>0.13684774987900755</v>
      </c>
      <c r="I10" s="5"/>
    </row>
    <row r="11" spans="1:9" x14ac:dyDescent="0.35">
      <c r="A11" s="1">
        <f>Calculs!A11</f>
        <v>44202</v>
      </c>
      <c r="B11">
        <f>Calculs!B11</f>
        <v>1906.9000244140625</v>
      </c>
      <c r="C11">
        <f>Calculs!C11</f>
        <v>1.1387186786825267</v>
      </c>
      <c r="D11">
        <f t="shared" si="0"/>
        <v>-2.3734105597417361E-2</v>
      </c>
      <c r="E11">
        <f t="shared" si="1"/>
        <v>3.4784034215379019E-3</v>
      </c>
      <c r="G11" s="9" t="s">
        <v>2409</v>
      </c>
      <c r="H11">
        <f>INTERCEPT(D:D,E:E)</f>
        <v>6.7911115218588166E-4</v>
      </c>
      <c r="I11" s="5"/>
    </row>
    <row r="12" spans="1:9" x14ac:dyDescent="0.35">
      <c r="A12" s="1">
        <f>Calculs!A12</f>
        <v>44203</v>
      </c>
      <c r="B12">
        <f>Calculs!B12</f>
        <v>1912.300048828125</v>
      </c>
      <c r="C12">
        <f>Calculs!C12</f>
        <v>1.1388613705124437</v>
      </c>
      <c r="D12">
        <f t="shared" si="0"/>
        <v>2.8278319590516131E-3</v>
      </c>
      <c r="E12">
        <f t="shared" si="1"/>
        <v>1.2530126451904057E-4</v>
      </c>
      <c r="G12" s="11" t="s">
        <v>2410</v>
      </c>
      <c r="H12" s="12">
        <f>RSQ(D:D,E:E)</f>
        <v>4.7690177491117192E-3</v>
      </c>
      <c r="I12" s="13"/>
    </row>
    <row r="13" spans="1:9" x14ac:dyDescent="0.35">
      <c r="A13" s="1">
        <f>Calculs!A13</f>
        <v>44204</v>
      </c>
      <c r="B13">
        <f>Calculs!B13</f>
        <v>1834.0999755859375</v>
      </c>
      <c r="C13">
        <f>Calculs!C13</f>
        <v>1.1297519998346168</v>
      </c>
      <c r="D13">
        <f t="shared" si="0"/>
        <v>-4.1752846956852267E-2</v>
      </c>
      <c r="E13">
        <f t="shared" si="1"/>
        <v>-8.0308260149412058E-3</v>
      </c>
    </row>
    <row r="14" spans="1:9" x14ac:dyDescent="0.35">
      <c r="A14" s="1">
        <f>Calculs!A14</f>
        <v>44207</v>
      </c>
      <c r="B14">
        <f>Calculs!B14</f>
        <v>1849.5999755859375</v>
      </c>
      <c r="C14">
        <f>Calculs!C14</f>
        <v>1.1265828496773598</v>
      </c>
      <c r="D14">
        <f t="shared" si="0"/>
        <v>8.4155016326218669E-3</v>
      </c>
      <c r="E14">
        <f t="shared" si="1"/>
        <v>-2.8091151824884159E-3</v>
      </c>
    </row>
    <row r="15" spans="1:9" x14ac:dyDescent="0.35">
      <c r="A15" s="1">
        <f>Calculs!A15</f>
        <v>44208</v>
      </c>
      <c r="B15">
        <f>Calculs!B15</f>
        <v>1842.9000244140625</v>
      </c>
      <c r="C15">
        <f>Calculs!C15</f>
        <v>1.124075440256096</v>
      </c>
      <c r="D15">
        <f t="shared" si="0"/>
        <v>-3.6289551927896312E-3</v>
      </c>
      <c r="E15">
        <f t="shared" si="1"/>
        <v>-2.228157397196721E-3</v>
      </c>
      <c r="G15" s="16"/>
      <c r="H15" s="14" t="s">
        <v>2413</v>
      </c>
      <c r="I15" s="18"/>
    </row>
    <row r="16" spans="1:9" x14ac:dyDescent="0.35">
      <c r="A16" s="1">
        <f>Calculs!A16</f>
        <v>44209</v>
      </c>
      <c r="B16">
        <f>Calculs!B16</f>
        <v>1853.5999755859375</v>
      </c>
      <c r="C16">
        <f>Calculs!C16</f>
        <v>1.1287955488740582</v>
      </c>
      <c r="D16">
        <f t="shared" si="0"/>
        <v>5.7892498613820609E-3</v>
      </c>
      <c r="E16">
        <f t="shared" si="1"/>
        <v>4.1903114269029491E-3</v>
      </c>
      <c r="G16" s="17" t="s">
        <v>2400</v>
      </c>
      <c r="H16" s="15" t="s">
        <v>2411</v>
      </c>
      <c r="I16" s="19" t="s">
        <v>2412</v>
      </c>
    </row>
    <row r="17" spans="1:9" x14ac:dyDescent="0.35">
      <c r="A17" s="1">
        <f>Calculs!A17</f>
        <v>44210</v>
      </c>
      <c r="B17">
        <f>Calculs!B17</f>
        <v>1850.300048828125</v>
      </c>
      <c r="C17">
        <f>Calculs!C17</f>
        <v>1.1275228225168052</v>
      </c>
      <c r="D17">
        <f t="shared" si="0"/>
        <v>-1.7818664700342871E-3</v>
      </c>
      <c r="E17">
        <f t="shared" si="1"/>
        <v>-1.1281444217933535E-3</v>
      </c>
      <c r="G17" s="20" t="s">
        <v>2414</v>
      </c>
      <c r="H17">
        <f>H8</f>
        <v>6.905807519118759E-2</v>
      </c>
      <c r="I17" s="5">
        <f>Results!B4</f>
        <v>6.905807519118759E-2</v>
      </c>
    </row>
    <row r="18" spans="1:9" x14ac:dyDescent="0.35">
      <c r="A18" s="1">
        <f>Calculs!A18</f>
        <v>44211</v>
      </c>
      <c r="B18">
        <f>Calculs!B18</f>
        <v>1829.300048828125</v>
      </c>
      <c r="C18">
        <f>Calculs!C18</f>
        <v>1.1258091838058959</v>
      </c>
      <c r="D18">
        <f t="shared" si="0"/>
        <v>-1.1414407787474065E-2</v>
      </c>
      <c r="E18">
        <f t="shared" si="1"/>
        <v>-1.5209822932973017E-3</v>
      </c>
      <c r="G18" s="20" t="s">
        <v>2415</v>
      </c>
      <c r="H18">
        <f>H10</f>
        <v>0.13684774987900755</v>
      </c>
      <c r="I18" s="5">
        <f>Results!B5</f>
        <v>0.13684774987900755</v>
      </c>
    </row>
    <row r="19" spans="1:9" x14ac:dyDescent="0.35">
      <c r="A19" s="1">
        <f>Calculs!A19</f>
        <v>44215</v>
      </c>
      <c r="B19">
        <f>Calculs!B19</f>
        <v>1839.5</v>
      </c>
      <c r="C19">
        <f>Calculs!C19</f>
        <v>1.1224604133239828</v>
      </c>
      <c r="D19">
        <f t="shared" si="0"/>
        <v>5.5603888553312541E-3</v>
      </c>
      <c r="E19">
        <f t="shared" si="1"/>
        <v>-2.9789781107125101E-3</v>
      </c>
      <c r="G19" s="21" t="s">
        <v>2410</v>
      </c>
      <c r="H19" s="12">
        <f>H12</f>
        <v>4.7690177491117192E-3</v>
      </c>
      <c r="I19" s="13">
        <f>Results!B6</f>
        <v>4.7690177491117192E-3</v>
      </c>
    </row>
    <row r="20" spans="1:9" x14ac:dyDescent="0.35">
      <c r="A20" s="1">
        <f>Calculs!A20</f>
        <v>44216</v>
      </c>
      <c r="B20">
        <f>Calculs!B20</f>
        <v>1865.9000244140625</v>
      </c>
      <c r="C20">
        <f>Calculs!C20</f>
        <v>1.1261261116131862</v>
      </c>
      <c r="D20">
        <f t="shared" si="0"/>
        <v>1.4249727942710165E-2</v>
      </c>
      <c r="E20">
        <f t="shared" si="1"/>
        <v>3.2604496166012248E-3</v>
      </c>
    </row>
    <row r="21" spans="1:9" x14ac:dyDescent="0.35">
      <c r="A21" s="1">
        <f>Calculs!A21</f>
        <v>44217</v>
      </c>
      <c r="B21">
        <f>Calculs!B21</f>
        <v>1865.300048828125</v>
      </c>
      <c r="C21">
        <f>Calculs!C21</f>
        <v>1.1245051909083883</v>
      </c>
      <c r="D21">
        <f t="shared" si="0"/>
        <v>-3.2159925993311322E-4</v>
      </c>
      <c r="E21">
        <f t="shared" si="1"/>
        <v>-1.4404145034668172E-3</v>
      </c>
    </row>
    <row r="22" spans="1:9" x14ac:dyDescent="0.35">
      <c r="A22" s="1">
        <f>Calculs!A22</f>
        <v>44218</v>
      </c>
      <c r="B22">
        <f>Calculs!B22</f>
        <v>1855.699951171875</v>
      </c>
      <c r="C22">
        <f>Calculs!C22</f>
        <v>1.129484048473274</v>
      </c>
      <c r="D22">
        <f t="shared" si="0"/>
        <v>-5.1599671898233754E-3</v>
      </c>
      <c r="E22">
        <f t="shared" si="1"/>
        <v>4.4178255828955211E-3</v>
      </c>
    </row>
    <row r="23" spans="1:9" x14ac:dyDescent="0.35">
      <c r="A23" s="1">
        <f>Calculs!A23</f>
        <v>44221</v>
      </c>
      <c r="B23">
        <f>Calculs!B23</f>
        <v>1854.9000244140625</v>
      </c>
      <c r="C23">
        <f>Calculs!C23</f>
        <v>1.1295312710917573</v>
      </c>
      <c r="D23">
        <f t="shared" si="0"/>
        <v>-4.3115764322087933E-4</v>
      </c>
      <c r="E23">
        <f t="shared" si="1"/>
        <v>4.18081436466814E-5</v>
      </c>
    </row>
    <row r="24" spans="1:9" x14ac:dyDescent="0.35">
      <c r="A24" s="1">
        <f>Calculs!A24</f>
        <v>44222</v>
      </c>
      <c r="B24">
        <f>Calculs!B24</f>
        <v>1850.699951171875</v>
      </c>
      <c r="C24">
        <f>Calculs!C24</f>
        <v>1.1261007901263638</v>
      </c>
      <c r="D24">
        <f t="shared" si="0"/>
        <v>-2.266879894457694E-3</v>
      </c>
      <c r="E24">
        <f t="shared" si="1"/>
        <v>-3.0417049564658107E-3</v>
      </c>
    </row>
    <row r="25" spans="1:9" x14ac:dyDescent="0.35">
      <c r="A25" s="1">
        <f>Calculs!A25</f>
        <v>44223</v>
      </c>
      <c r="B25">
        <f>Calculs!B25</f>
        <v>1844.9000244140625</v>
      </c>
      <c r="C25">
        <f>Calculs!C25</f>
        <v>1.1277771836209631</v>
      </c>
      <c r="D25">
        <f t="shared" si="0"/>
        <v>-3.1388308031131281E-3</v>
      </c>
      <c r="E25">
        <f t="shared" si="1"/>
        <v>1.4875639437972651E-3</v>
      </c>
    </row>
    <row r="26" spans="1:9" x14ac:dyDescent="0.35">
      <c r="A26" s="1">
        <f>Calculs!A26</f>
        <v>44224</v>
      </c>
      <c r="B26">
        <f>Calculs!B26</f>
        <v>1837.9000244140625</v>
      </c>
      <c r="C26">
        <f>Calculs!C26</f>
        <v>1.1249859604873969</v>
      </c>
      <c r="D26">
        <f t="shared" si="0"/>
        <v>-3.8014599418898284E-3</v>
      </c>
      <c r="E26">
        <f t="shared" si="1"/>
        <v>-2.4780453011286159E-3</v>
      </c>
    </row>
    <row r="27" spans="1:9" x14ac:dyDescent="0.35">
      <c r="A27" s="1">
        <f>Calculs!A27</f>
        <v>44225</v>
      </c>
      <c r="B27">
        <f>Calculs!B27</f>
        <v>1847.300048828125</v>
      </c>
      <c r="C27">
        <f>Calculs!C27</f>
        <v>1.1253543559547194</v>
      </c>
      <c r="D27">
        <f t="shared" si="0"/>
        <v>5.1015112416478462E-3</v>
      </c>
      <c r="E27">
        <f t="shared" si="1"/>
        <v>3.2741311873759623E-4</v>
      </c>
    </row>
    <row r="28" spans="1:9" x14ac:dyDescent="0.35">
      <c r="A28" s="1">
        <f>Calculs!A28</f>
        <v>44228</v>
      </c>
      <c r="B28">
        <f>Calculs!B28</f>
        <v>1860.800048828125</v>
      </c>
      <c r="C28">
        <f>Calculs!C28</f>
        <v>1.1218811893833704</v>
      </c>
      <c r="D28">
        <f t="shared" si="0"/>
        <v>7.2813890080445729E-3</v>
      </c>
      <c r="E28">
        <f t="shared" si="1"/>
        <v>-3.0910594520995966E-3</v>
      </c>
    </row>
    <row r="29" spans="1:9" x14ac:dyDescent="0.35">
      <c r="A29" s="1">
        <f>Calculs!A29</f>
        <v>44229</v>
      </c>
      <c r="B29">
        <f>Calculs!B29</f>
        <v>1830.5</v>
      </c>
      <c r="C29">
        <f>Calculs!C29</f>
        <v>1.1154738236031541</v>
      </c>
      <c r="D29">
        <f t="shared" si="0"/>
        <v>-1.6417375444502631E-2</v>
      </c>
      <c r="E29">
        <f t="shared" si="1"/>
        <v>-5.7276411294747611E-3</v>
      </c>
    </row>
    <row r="30" spans="1:9" x14ac:dyDescent="0.35">
      <c r="A30" s="1">
        <f>Calculs!A30</f>
        <v>44230</v>
      </c>
      <c r="B30">
        <f>Calculs!B30</f>
        <v>1832.199951171875</v>
      </c>
      <c r="C30">
        <f>Calculs!C30</f>
        <v>1.114206154772446</v>
      </c>
      <c r="D30">
        <f t="shared" si="0"/>
        <v>9.2825037081982324E-4</v>
      </c>
      <c r="E30">
        <f t="shared" si="1"/>
        <v>-1.1370860209447178E-3</v>
      </c>
    </row>
    <row r="31" spans="1:9" x14ac:dyDescent="0.35">
      <c r="A31" s="1">
        <f>Calculs!A31</f>
        <v>44231</v>
      </c>
      <c r="B31">
        <f>Calculs!B31</f>
        <v>1788.9000244140625</v>
      </c>
      <c r="C31">
        <f>Calculs!C31</f>
        <v>1.1131642971397149</v>
      </c>
      <c r="D31">
        <f t="shared" si="0"/>
        <v>-2.3916484486413037E-2</v>
      </c>
      <c r="E31">
        <f t="shared" si="1"/>
        <v>-9.3550465107428388E-4</v>
      </c>
    </row>
    <row r="32" spans="1:9" x14ac:dyDescent="0.35">
      <c r="A32" s="1">
        <f>Calculs!A32</f>
        <v>44232</v>
      </c>
      <c r="B32">
        <f>Calculs!B32</f>
        <v>1810.9000244140625</v>
      </c>
      <c r="C32">
        <f>Calculs!C32</f>
        <v>1.1061579508867445</v>
      </c>
      <c r="D32">
        <f t="shared" si="0"/>
        <v>1.2223053284327792E-2</v>
      </c>
      <c r="E32">
        <f t="shared" si="1"/>
        <v>-6.3139722368651474E-3</v>
      </c>
    </row>
    <row r="33" spans="1:5" x14ac:dyDescent="0.35">
      <c r="A33" s="1">
        <f>Calculs!A33</f>
        <v>44235</v>
      </c>
      <c r="B33">
        <f>Calculs!B33</f>
        <v>1831.9000244140625</v>
      </c>
      <c r="C33">
        <f>Calculs!C33</f>
        <v>1.1123717725754461</v>
      </c>
      <c r="D33">
        <f t="shared" si="0"/>
        <v>1.1529720189568878E-2</v>
      </c>
      <c r="E33">
        <f t="shared" si="1"/>
        <v>5.601762168869857E-3</v>
      </c>
    </row>
    <row r="34" spans="1:5" x14ac:dyDescent="0.35">
      <c r="A34" s="1">
        <f>Calculs!A34</f>
        <v>44236</v>
      </c>
      <c r="B34">
        <f>Calculs!B34</f>
        <v>1835.300048828125</v>
      </c>
      <c r="C34">
        <f>Calculs!C34</f>
        <v>1.1128434019921742</v>
      </c>
      <c r="D34">
        <f t="shared" si="0"/>
        <v>1.8542895508146806E-3</v>
      </c>
      <c r="E34">
        <f t="shared" si="1"/>
        <v>4.2389556675745112E-4</v>
      </c>
    </row>
    <row r="35" spans="1:5" x14ac:dyDescent="0.35">
      <c r="A35" s="1">
        <f>Calculs!A35</f>
        <v>44237</v>
      </c>
      <c r="B35">
        <f>Calculs!B35</f>
        <v>1840.5999755859375</v>
      </c>
      <c r="C35">
        <f>Calculs!C35</f>
        <v>1.1205737007002676</v>
      </c>
      <c r="D35">
        <f t="shared" si="0"/>
        <v>2.8836096711605716E-3</v>
      </c>
      <c r="E35">
        <f t="shared" si="1"/>
        <v>6.9224235530170033E-3</v>
      </c>
    </row>
    <row r="36" spans="1:5" x14ac:dyDescent="0.35">
      <c r="A36" s="1">
        <f>Calculs!A36</f>
        <v>44238</v>
      </c>
      <c r="B36">
        <f>Calculs!B36</f>
        <v>1824.9000244140625</v>
      </c>
      <c r="C36">
        <f>Calculs!C36</f>
        <v>1.1232850573141171</v>
      </c>
      <c r="D36">
        <f t="shared" si="0"/>
        <v>-8.5663877674986583E-3</v>
      </c>
      <c r="E36">
        <f t="shared" si="1"/>
        <v>2.4166921592392375E-3</v>
      </c>
    </row>
    <row r="37" spans="1:5" x14ac:dyDescent="0.35">
      <c r="A37" s="1">
        <f>Calculs!A37</f>
        <v>44239</v>
      </c>
      <c r="B37">
        <f>Calculs!B37</f>
        <v>1821.5999755859375</v>
      </c>
      <c r="C37">
        <f>Calculs!C37</f>
        <v>1.1234439928494786</v>
      </c>
      <c r="D37">
        <f t="shared" si="0"/>
        <v>-1.8099820260786762E-3</v>
      </c>
      <c r="E37">
        <f t="shared" si="1"/>
        <v>1.414817114817934E-4</v>
      </c>
    </row>
    <row r="38" spans="1:5" x14ac:dyDescent="0.35">
      <c r="A38" s="1">
        <f>Calculs!A38</f>
        <v>44243</v>
      </c>
      <c r="B38">
        <f>Calculs!B38</f>
        <v>1797.199951171875</v>
      </c>
      <c r="C38">
        <f>Calculs!C38</f>
        <v>1.1238051309346406</v>
      </c>
      <c r="D38">
        <f t="shared" si="0"/>
        <v>-1.348535131998669E-2</v>
      </c>
      <c r="E38">
        <f t="shared" si="1"/>
        <v>3.2140458701155521E-4</v>
      </c>
    </row>
    <row r="39" spans="1:5" x14ac:dyDescent="0.35">
      <c r="A39" s="1">
        <f>Calculs!A39</f>
        <v>44244</v>
      </c>
      <c r="B39">
        <f>Calculs!B39</f>
        <v>1771.0999755859375</v>
      </c>
      <c r="C39">
        <f>Calculs!C39</f>
        <v>1.1195475476605681</v>
      </c>
      <c r="D39">
        <f t="shared" si="0"/>
        <v>-1.4629062349107949E-2</v>
      </c>
      <c r="E39">
        <f t="shared" si="1"/>
        <v>-3.7957370024767219E-3</v>
      </c>
    </row>
    <row r="40" spans="1:5" x14ac:dyDescent="0.35">
      <c r="A40" s="1">
        <f>Calculs!A40</f>
        <v>44245</v>
      </c>
      <c r="B40">
        <f>Calculs!B40</f>
        <v>1773.4000244140625</v>
      </c>
      <c r="C40">
        <f>Calculs!C40</f>
        <v>1.1130527824501759</v>
      </c>
      <c r="D40">
        <f t="shared" si="0"/>
        <v>1.2978130348198413E-3</v>
      </c>
      <c r="E40">
        <f t="shared" si="1"/>
        <v>-5.8181336299250302E-3</v>
      </c>
    </row>
    <row r="41" spans="1:5" x14ac:dyDescent="0.35">
      <c r="A41" s="1">
        <f>Calculs!A41</f>
        <v>44246</v>
      </c>
      <c r="B41">
        <f>Calculs!B41</f>
        <v>1775.800048828125</v>
      </c>
      <c r="C41">
        <f>Calculs!C41</f>
        <v>1.1163081356703133</v>
      </c>
      <c r="D41">
        <f t="shared" si="0"/>
        <v>1.3524313819186311E-3</v>
      </c>
      <c r="E41">
        <f t="shared" si="1"/>
        <v>2.9204383259871696E-3</v>
      </c>
    </row>
    <row r="42" spans="1:5" x14ac:dyDescent="0.35">
      <c r="A42" s="1">
        <f>Calculs!A42</f>
        <v>44249</v>
      </c>
      <c r="B42">
        <f>Calculs!B42</f>
        <v>1806.699951171875</v>
      </c>
      <c r="C42">
        <f>Calculs!C42</f>
        <v>1.1152126015739736</v>
      </c>
      <c r="D42">
        <f t="shared" si="0"/>
        <v>1.7250896659106188E-2</v>
      </c>
      <c r="E42">
        <f t="shared" si="1"/>
        <v>-9.8187228652610661E-4</v>
      </c>
    </row>
    <row r="43" spans="1:5" x14ac:dyDescent="0.35">
      <c r="A43" s="1">
        <f>Calculs!A43</f>
        <v>44250</v>
      </c>
      <c r="B43">
        <f>Calculs!B43</f>
        <v>1804.4000244140625</v>
      </c>
      <c r="C43">
        <f>Calculs!C43</f>
        <v>1.116457673210252</v>
      </c>
      <c r="D43">
        <f t="shared" si="0"/>
        <v>-1.2738096892075683E-3</v>
      </c>
      <c r="E43">
        <f t="shared" si="1"/>
        <v>1.1158205399144187E-3</v>
      </c>
    </row>
    <row r="44" spans="1:5" x14ac:dyDescent="0.35">
      <c r="A44" s="1">
        <f>Calculs!A44</f>
        <v>44251</v>
      </c>
      <c r="B44">
        <f>Calculs!B44</f>
        <v>1796.4000244140625</v>
      </c>
      <c r="C44">
        <f>Calculs!C44</f>
        <v>1.1048503074535507</v>
      </c>
      <c r="D44">
        <f t="shared" si="0"/>
        <v>-4.4434642604026936E-3</v>
      </c>
      <c r="E44">
        <f t="shared" si="1"/>
        <v>-1.0451023908163694E-2</v>
      </c>
    </row>
    <row r="45" spans="1:5" x14ac:dyDescent="0.35">
      <c r="A45" s="1">
        <f>Calculs!A45</f>
        <v>44252</v>
      </c>
      <c r="B45">
        <f>Calculs!B45</f>
        <v>1774.4000244140625</v>
      </c>
      <c r="C45">
        <f>Calculs!C45</f>
        <v>1.1030222829065501</v>
      </c>
      <c r="D45">
        <f t="shared" si="0"/>
        <v>-1.2322324448977169E-2</v>
      </c>
      <c r="E45">
        <f t="shared" si="1"/>
        <v>-1.6559152667541574E-3</v>
      </c>
    </row>
    <row r="46" spans="1:5" x14ac:dyDescent="0.35">
      <c r="A46" s="1">
        <f>Calculs!A46</f>
        <v>44253</v>
      </c>
      <c r="B46">
        <f>Calculs!B46</f>
        <v>1728.0999755859375</v>
      </c>
      <c r="C46">
        <f>Calculs!C46</f>
        <v>1.1042769001371229</v>
      </c>
      <c r="D46">
        <f t="shared" si="0"/>
        <v>-2.6439826422899711E-2</v>
      </c>
      <c r="E46">
        <f t="shared" si="1"/>
        <v>1.1367895891244944E-3</v>
      </c>
    </row>
    <row r="47" spans="1:5" x14ac:dyDescent="0.35">
      <c r="A47" s="1">
        <f>Calculs!A47</f>
        <v>44256</v>
      </c>
      <c r="B47">
        <f>Calculs!B47</f>
        <v>1722.5</v>
      </c>
      <c r="C47">
        <f>Calculs!C47</f>
        <v>1.1020497980575743</v>
      </c>
      <c r="D47">
        <f t="shared" si="0"/>
        <v>-3.2458010444414774E-3</v>
      </c>
      <c r="E47">
        <f t="shared" si="1"/>
        <v>-2.0188332378746369E-3</v>
      </c>
    </row>
    <row r="48" spans="1:5" x14ac:dyDescent="0.35">
      <c r="A48" s="1">
        <f>Calculs!A48</f>
        <v>44257</v>
      </c>
      <c r="B48">
        <f>Calculs!B48</f>
        <v>1733.0999755859375</v>
      </c>
      <c r="C48">
        <f>Calculs!C48</f>
        <v>1.0930156243128837</v>
      </c>
      <c r="D48">
        <f t="shared" si="0"/>
        <v>6.1349744805834789E-3</v>
      </c>
      <c r="E48">
        <f t="shared" si="1"/>
        <v>-8.2313945292115769E-3</v>
      </c>
    </row>
    <row r="49" spans="1:5" x14ac:dyDescent="0.35">
      <c r="A49" s="1">
        <f>Calculs!A49</f>
        <v>44258</v>
      </c>
      <c r="B49">
        <f>Calculs!B49</f>
        <v>1715.300048828125</v>
      </c>
      <c r="C49">
        <f>Calculs!C49</f>
        <v>1.0928961492338718</v>
      </c>
      <c r="D49">
        <f t="shared" si="0"/>
        <v>-1.0323677486387741E-2</v>
      </c>
      <c r="E49">
        <f t="shared" si="1"/>
        <v>-1.0931372489662724E-4</v>
      </c>
    </row>
    <row r="50" spans="1:5" x14ac:dyDescent="0.35">
      <c r="A50" s="1">
        <f>Calculs!A50</f>
        <v>44259</v>
      </c>
      <c r="B50">
        <f>Calculs!B50</f>
        <v>1700.199951171875</v>
      </c>
      <c r="C50">
        <f>Calculs!C50</f>
        <v>1.0873110483560409</v>
      </c>
      <c r="D50">
        <f t="shared" si="0"/>
        <v>-8.8421584177990169E-3</v>
      </c>
      <c r="E50">
        <f t="shared" si="1"/>
        <v>-5.1234700090726807E-3</v>
      </c>
    </row>
    <row r="51" spans="1:5" x14ac:dyDescent="0.35">
      <c r="A51" s="1">
        <f>Calculs!A51</f>
        <v>44260</v>
      </c>
      <c r="B51">
        <f>Calculs!B51</f>
        <v>1698</v>
      </c>
      <c r="C51">
        <f>Calculs!C51</f>
        <v>1.0761019480100067</v>
      </c>
      <c r="D51">
        <f t="shared" si="0"/>
        <v>-1.2947745929176705E-3</v>
      </c>
      <c r="E51">
        <f t="shared" si="1"/>
        <v>-1.0362515773981488E-2</v>
      </c>
    </row>
    <row r="52" spans="1:5" x14ac:dyDescent="0.35">
      <c r="A52" s="1">
        <f>Calculs!A52</f>
        <v>44263</v>
      </c>
      <c r="B52">
        <f>Calculs!B52</f>
        <v>1677.699951171875</v>
      </c>
      <c r="C52">
        <f>Calculs!C52</f>
        <v>1.0750376485806956</v>
      </c>
      <c r="D52">
        <f t="shared" si="0"/>
        <v>-1.2027309199143453E-2</v>
      </c>
      <c r="E52">
        <f t="shared" si="1"/>
        <v>-9.8952157065079825E-4</v>
      </c>
    </row>
    <row r="53" spans="1:5" x14ac:dyDescent="0.35">
      <c r="A53" s="1">
        <f>Calculs!A53</f>
        <v>44264</v>
      </c>
      <c r="B53">
        <f>Calculs!B53</f>
        <v>1716.5999755859375</v>
      </c>
      <c r="C53">
        <f>Calculs!C53</f>
        <v>1.0686043844635826</v>
      </c>
      <c r="D53">
        <f t="shared" si="0"/>
        <v>2.2921797389633937E-2</v>
      </c>
      <c r="E53">
        <f t="shared" si="1"/>
        <v>-6.0021993708616597E-3</v>
      </c>
    </row>
    <row r="54" spans="1:5" x14ac:dyDescent="0.35">
      <c r="A54" s="1">
        <f>Calculs!A54</f>
        <v>44265</v>
      </c>
      <c r="B54">
        <f>Calculs!B54</f>
        <v>1721.5</v>
      </c>
      <c r="C54">
        <f>Calculs!C54</f>
        <v>1.0774236824013967</v>
      </c>
      <c r="D54">
        <f t="shared" si="0"/>
        <v>2.8504277167953028E-3</v>
      </c>
      <c r="E54">
        <f t="shared" si="1"/>
        <v>8.2192285584990962E-3</v>
      </c>
    </row>
    <row r="55" spans="1:5" x14ac:dyDescent="0.35">
      <c r="A55" s="1">
        <f>Calculs!A55</f>
        <v>44266</v>
      </c>
      <c r="B55">
        <f>Calculs!B55</f>
        <v>1722.300048828125</v>
      </c>
      <c r="C55">
        <f>Calculs!C55</f>
        <v>1.0756157704001172</v>
      </c>
      <c r="D55">
        <f t="shared" si="0"/>
        <v>4.6463141365605257E-4</v>
      </c>
      <c r="E55">
        <f t="shared" si="1"/>
        <v>-1.6794048282270907E-3</v>
      </c>
    </row>
    <row r="56" spans="1:5" x14ac:dyDescent="0.35">
      <c r="A56" s="1">
        <f>Calculs!A56</f>
        <v>44267</v>
      </c>
      <c r="B56">
        <f>Calculs!B56</f>
        <v>1719.5</v>
      </c>
      <c r="C56">
        <f>Calculs!C56</f>
        <v>1.0814785659277335</v>
      </c>
      <c r="D56">
        <f t="shared" si="0"/>
        <v>-1.6270843199136934E-3</v>
      </c>
      <c r="E56">
        <f t="shared" si="1"/>
        <v>5.4358401162199598E-3</v>
      </c>
    </row>
    <row r="57" spans="1:5" x14ac:dyDescent="0.35">
      <c r="A57" s="1">
        <f>Calculs!A57</f>
        <v>44270</v>
      </c>
      <c r="B57">
        <f>Calculs!B57</f>
        <v>1728.9000244140625</v>
      </c>
      <c r="C57">
        <f>Calculs!C57</f>
        <v>1.0761192727869828</v>
      </c>
      <c r="D57">
        <f t="shared" si="0"/>
        <v>5.4518313595629479E-3</v>
      </c>
      <c r="E57">
        <f t="shared" si="1"/>
        <v>-4.9678434661215116E-3</v>
      </c>
    </row>
    <row r="58" spans="1:5" x14ac:dyDescent="0.35">
      <c r="A58" s="1">
        <f>Calculs!A58</f>
        <v>44271</v>
      </c>
      <c r="B58">
        <f>Calculs!B58</f>
        <v>1730.5999755859375</v>
      </c>
      <c r="C58">
        <f>Calculs!C58</f>
        <v>1.0780508536328182</v>
      </c>
      <c r="D58">
        <f t="shared" si="0"/>
        <v>9.8277283347242197E-4</v>
      </c>
      <c r="E58">
        <f t="shared" si="1"/>
        <v>1.7933415191502071E-3</v>
      </c>
    </row>
    <row r="59" spans="1:5" x14ac:dyDescent="0.35">
      <c r="A59" s="1">
        <f>Calculs!A59</f>
        <v>44272</v>
      </c>
      <c r="B59">
        <f>Calculs!B59</f>
        <v>1726.800048828125</v>
      </c>
      <c r="C59">
        <f>Calculs!C59</f>
        <v>1.0813149037589276</v>
      </c>
      <c r="D59">
        <f t="shared" si="0"/>
        <v>-2.1981421073807767E-3</v>
      </c>
      <c r="E59">
        <f t="shared" si="1"/>
        <v>3.023158629717854E-3</v>
      </c>
    </row>
    <row r="60" spans="1:5" x14ac:dyDescent="0.35">
      <c r="A60" s="1">
        <f>Calculs!A60</f>
        <v>44273</v>
      </c>
      <c r="B60">
        <f>Calculs!B60</f>
        <v>1732.199951171875</v>
      </c>
      <c r="C60">
        <f>Calculs!C60</f>
        <v>1.0843164247554713</v>
      </c>
      <c r="D60">
        <f t="shared" si="0"/>
        <v>3.122235750465632E-3</v>
      </c>
      <c r="E60">
        <f t="shared" si="1"/>
        <v>2.7719611172400652E-3</v>
      </c>
    </row>
    <row r="61" spans="1:5" x14ac:dyDescent="0.35">
      <c r="A61" s="1">
        <f>Calculs!A61</f>
        <v>44274</v>
      </c>
      <c r="B61">
        <f>Calculs!B61</f>
        <v>1741.4000244140625</v>
      </c>
      <c r="C61">
        <f>Calculs!C61</f>
        <v>1.0783763924162262</v>
      </c>
      <c r="D61">
        <f t="shared" si="0"/>
        <v>5.2971527058642155E-3</v>
      </c>
      <c r="E61">
        <f t="shared" si="1"/>
        <v>-5.4931955466609927E-3</v>
      </c>
    </row>
    <row r="62" spans="1:5" x14ac:dyDescent="0.35">
      <c r="A62" s="1">
        <f>Calculs!A62</f>
        <v>44277</v>
      </c>
      <c r="B62">
        <f>Calculs!B62</f>
        <v>1737.800048828125</v>
      </c>
      <c r="C62">
        <f>Calculs!C62</f>
        <v>1.0752225689112211</v>
      </c>
      <c r="D62">
        <f t="shared" si="0"/>
        <v>-2.0694279115334759E-3</v>
      </c>
      <c r="E62">
        <f t="shared" si="1"/>
        <v>-2.9288886335839181E-3</v>
      </c>
    </row>
    <row r="63" spans="1:5" x14ac:dyDescent="0.35">
      <c r="A63" s="1">
        <f>Calculs!A63</f>
        <v>44278</v>
      </c>
      <c r="B63">
        <f>Calculs!B63</f>
        <v>1724.699951171875</v>
      </c>
      <c r="C63">
        <f>Calculs!C63</f>
        <v>1.0831888949420372</v>
      </c>
      <c r="D63">
        <f t="shared" si="0"/>
        <v>-7.5668795165003246E-3</v>
      </c>
      <c r="E63">
        <f t="shared" si="1"/>
        <v>7.3816900415153803E-3</v>
      </c>
    </row>
    <row r="64" spans="1:5" x14ac:dyDescent="0.35">
      <c r="A64" s="1">
        <f>Calculs!A64</f>
        <v>44279</v>
      </c>
      <c r="B64">
        <f>Calculs!B64</f>
        <v>1732.9000244140625</v>
      </c>
      <c r="C64">
        <f>Calculs!C64</f>
        <v>1.0700680492522185</v>
      </c>
      <c r="D64">
        <f t="shared" si="0"/>
        <v>4.7432257484864076E-3</v>
      </c>
      <c r="E64">
        <f t="shared" si="1"/>
        <v>-1.218712715522677E-2</v>
      </c>
    </row>
    <row r="65" spans="1:5" x14ac:dyDescent="0.35">
      <c r="A65" s="1">
        <f>Calculs!A65</f>
        <v>44280</v>
      </c>
      <c r="B65">
        <f>Calculs!B65</f>
        <v>1724.9000244140625</v>
      </c>
      <c r="C65">
        <f>Calculs!C65</f>
        <v>1.0683875102478422</v>
      </c>
      <c r="D65">
        <f t="shared" si="0"/>
        <v>-4.6272278102745161E-3</v>
      </c>
      <c r="E65">
        <f t="shared" si="1"/>
        <v>-1.5717318443857933E-3</v>
      </c>
    </row>
    <row r="66" spans="1:5" x14ac:dyDescent="0.35">
      <c r="A66" s="1">
        <f>Calculs!A66</f>
        <v>44281</v>
      </c>
      <c r="B66">
        <f>Calculs!B66</f>
        <v>1732.199951171875</v>
      </c>
      <c r="C66">
        <f>Calculs!C66</f>
        <v>1.0643846398147689</v>
      </c>
      <c r="D66">
        <f t="shared" si="0"/>
        <v>4.2231567839576944E-3</v>
      </c>
      <c r="E66">
        <f t="shared" si="1"/>
        <v>-3.7536828610939535E-3</v>
      </c>
    </row>
    <row r="67" spans="1:5" x14ac:dyDescent="0.35">
      <c r="A67" s="1">
        <f>Calculs!A67</f>
        <v>44284</v>
      </c>
      <c r="B67">
        <f>Calculs!B67</f>
        <v>1712.0999755859375</v>
      </c>
      <c r="C67">
        <f>Calculs!C67</f>
        <v>1.0643393311426805</v>
      </c>
      <c r="D67">
        <f t="shared" si="0"/>
        <v>-1.1671575757386563E-2</v>
      </c>
      <c r="E67">
        <f t="shared" si="1"/>
        <v>-4.2568856003274187E-5</v>
      </c>
    </row>
    <row r="68" spans="1:5" x14ac:dyDescent="0.35">
      <c r="A68" s="1">
        <f>Calculs!A68</f>
        <v>44285</v>
      </c>
      <c r="B68">
        <f>Calculs!B68</f>
        <v>1683.9000244140625</v>
      </c>
      <c r="C68">
        <f>Calculs!C68</f>
        <v>1.0650761598686858</v>
      </c>
      <c r="D68">
        <f t="shared" ref="D68:D131" si="2">LN(B68/B67)</f>
        <v>-1.6608126836268462E-2</v>
      </c>
      <c r="E68">
        <f t="shared" ref="E68:E131" si="3">LN(C68/C67)</f>
        <v>6.9204789626346221E-4</v>
      </c>
    </row>
    <row r="69" spans="1:5" x14ac:dyDescent="0.35">
      <c r="A69" s="1">
        <f>Calculs!A69</f>
        <v>44286</v>
      </c>
      <c r="B69">
        <f>Calculs!B69</f>
        <v>1713.800048828125</v>
      </c>
      <c r="C69">
        <f>Calculs!C69</f>
        <v>1.0619205583261708</v>
      </c>
      <c r="D69">
        <f t="shared" si="2"/>
        <v>1.7600609611377438E-2</v>
      </c>
      <c r="E69">
        <f t="shared" si="3"/>
        <v>-2.9671920325410649E-3</v>
      </c>
    </row>
    <row r="70" spans="1:5" x14ac:dyDescent="0.35">
      <c r="A70" s="1">
        <f>Calculs!A70</f>
        <v>44287</v>
      </c>
      <c r="B70">
        <f>Calculs!B70</f>
        <v>1726.5</v>
      </c>
      <c r="C70">
        <f>Calculs!C70</f>
        <v>1.0594342743066532</v>
      </c>
      <c r="D70">
        <f t="shared" si="2"/>
        <v>7.3830821038836664E-3</v>
      </c>
      <c r="E70">
        <f t="shared" si="3"/>
        <v>-2.3440540165151221E-3</v>
      </c>
    </row>
    <row r="71" spans="1:5" x14ac:dyDescent="0.35">
      <c r="A71" s="1">
        <f>Calculs!A71</f>
        <v>44291</v>
      </c>
      <c r="B71">
        <f>Calculs!B71</f>
        <v>1727</v>
      </c>
      <c r="C71">
        <f>Calculs!C71</f>
        <v>1.0615711569698492</v>
      </c>
      <c r="D71">
        <f t="shared" si="2"/>
        <v>2.8956131663167214E-4</v>
      </c>
      <c r="E71">
        <f t="shared" si="3"/>
        <v>2.0149721020833672E-3</v>
      </c>
    </row>
    <row r="72" spans="1:5" x14ac:dyDescent="0.35">
      <c r="A72" s="1">
        <f>Calculs!A72</f>
        <v>44292</v>
      </c>
      <c r="B72">
        <f>Calculs!B72</f>
        <v>1741.5</v>
      </c>
      <c r="C72">
        <f>Calculs!C72</f>
        <v>1.0683304312332826</v>
      </c>
      <c r="D72">
        <f t="shared" si="2"/>
        <v>8.3610116593772054E-3</v>
      </c>
      <c r="E72">
        <f t="shared" si="3"/>
        <v>6.3470509551561425E-3</v>
      </c>
    </row>
    <row r="73" spans="1:5" x14ac:dyDescent="0.35">
      <c r="A73" s="1">
        <f>Calculs!A73</f>
        <v>44293</v>
      </c>
      <c r="B73">
        <f>Calculs!B73</f>
        <v>1740.0999755859375</v>
      </c>
      <c r="C73">
        <f>Calculs!C73</f>
        <v>1.0736525648203712</v>
      </c>
      <c r="D73">
        <f t="shared" si="2"/>
        <v>-8.0424201478737796E-4</v>
      </c>
      <c r="E73">
        <f t="shared" si="3"/>
        <v>4.969362081026398E-3</v>
      </c>
    </row>
    <row r="74" spans="1:5" x14ac:dyDescent="0.35">
      <c r="A74" s="1">
        <f>Calculs!A74</f>
        <v>44294</v>
      </c>
      <c r="B74">
        <f>Calculs!B74</f>
        <v>1756.800048828125</v>
      </c>
      <c r="C74">
        <f>Calculs!C74</f>
        <v>1.0760787571498474</v>
      </c>
      <c r="D74">
        <f t="shared" si="2"/>
        <v>9.5514313177296126E-3</v>
      </c>
      <c r="E74">
        <f t="shared" si="3"/>
        <v>2.2572061306426212E-3</v>
      </c>
    </row>
    <row r="75" spans="1:5" x14ac:dyDescent="0.35">
      <c r="A75" s="1">
        <f>Calculs!A75</f>
        <v>44295</v>
      </c>
      <c r="B75">
        <f>Calculs!B75</f>
        <v>1743.300048828125</v>
      </c>
      <c r="C75">
        <f>Calculs!C75</f>
        <v>1.0820637076235331</v>
      </c>
      <c r="D75">
        <f t="shared" si="2"/>
        <v>-7.7141033508086694E-3</v>
      </c>
      <c r="E75">
        <f t="shared" si="3"/>
        <v>5.5464047569529574E-3</v>
      </c>
    </row>
    <row r="76" spans="1:5" x14ac:dyDescent="0.35">
      <c r="A76" s="1">
        <f>Calculs!A76</f>
        <v>44298</v>
      </c>
      <c r="B76">
        <f>Calculs!B76</f>
        <v>1731.199951171875</v>
      </c>
      <c r="C76">
        <f>Calculs!C76</f>
        <v>1.080742267191195</v>
      </c>
      <c r="D76">
        <f t="shared" si="2"/>
        <v>-6.9651153108131235E-3</v>
      </c>
      <c r="E76">
        <f t="shared" si="3"/>
        <v>-1.2219686945181046E-3</v>
      </c>
    </row>
    <row r="77" spans="1:5" x14ac:dyDescent="0.35">
      <c r="A77" s="1">
        <f>Calculs!A77</f>
        <v>44299</v>
      </c>
      <c r="B77">
        <f>Calculs!B77</f>
        <v>1746.199951171875</v>
      </c>
      <c r="C77">
        <f>Calculs!C77</f>
        <v>1.084481066944464</v>
      </c>
      <c r="D77">
        <f t="shared" si="2"/>
        <v>8.6271889668262814E-3</v>
      </c>
      <c r="E77">
        <f t="shared" si="3"/>
        <v>3.453503765900486E-3</v>
      </c>
    </row>
    <row r="78" spans="1:5" x14ac:dyDescent="0.35">
      <c r="A78" s="1">
        <f>Calculs!A78</f>
        <v>44300</v>
      </c>
      <c r="B78">
        <f>Calculs!B78</f>
        <v>1734.9000244140625</v>
      </c>
      <c r="C78">
        <f>Calculs!C78</f>
        <v>1.0868384182231505</v>
      </c>
      <c r="D78">
        <f t="shared" si="2"/>
        <v>-6.4921815096036159E-3</v>
      </c>
      <c r="E78">
        <f t="shared" si="3"/>
        <v>2.1713545344101493E-3</v>
      </c>
    </row>
    <row r="79" spans="1:5" x14ac:dyDescent="0.35">
      <c r="A79" s="1">
        <f>Calculs!A79</f>
        <v>44301</v>
      </c>
      <c r="B79">
        <f>Calculs!B79</f>
        <v>1765.4000244140625</v>
      </c>
      <c r="C79">
        <f>Calculs!C79</f>
        <v>1.0837758893750182</v>
      </c>
      <c r="D79">
        <f t="shared" si="2"/>
        <v>1.7427518510729378E-2</v>
      </c>
      <c r="E79">
        <f t="shared" si="3"/>
        <v>-2.8218102769857391E-3</v>
      </c>
    </row>
    <row r="80" spans="1:5" x14ac:dyDescent="0.35">
      <c r="A80" s="1">
        <f>Calculs!A80</f>
        <v>44302</v>
      </c>
      <c r="B80">
        <f>Calculs!B80</f>
        <v>1779</v>
      </c>
      <c r="C80">
        <f>Calculs!C80</f>
        <v>1.0847245822955727</v>
      </c>
      <c r="D80">
        <f t="shared" si="2"/>
        <v>7.6741012505068384E-3</v>
      </c>
      <c r="E80">
        <f t="shared" si="3"/>
        <v>8.7497604309840567E-4</v>
      </c>
    </row>
    <row r="81" spans="1:5" x14ac:dyDescent="0.35">
      <c r="A81" s="1">
        <f>Calculs!A81</f>
        <v>44305</v>
      </c>
      <c r="B81">
        <f>Calculs!B81</f>
        <v>1769.4000244140625</v>
      </c>
      <c r="C81">
        <f>Calculs!C81</f>
        <v>1.0863071122965637</v>
      </c>
      <c r="D81">
        <f t="shared" si="2"/>
        <v>-5.4108888186167351E-3</v>
      </c>
      <c r="E81">
        <f t="shared" si="3"/>
        <v>1.4578601364684625E-3</v>
      </c>
    </row>
    <row r="82" spans="1:5" x14ac:dyDescent="0.35">
      <c r="A82" s="1">
        <f>Calculs!A82</f>
        <v>44306</v>
      </c>
      <c r="B82">
        <f>Calculs!B82</f>
        <v>1777.300048828125</v>
      </c>
      <c r="C82">
        <f>Calculs!C82</f>
        <v>1.0932546528539235</v>
      </c>
      <c r="D82">
        <f t="shared" si="2"/>
        <v>4.4548663919310094E-3</v>
      </c>
      <c r="E82">
        <f t="shared" si="3"/>
        <v>6.3751935817786343E-3</v>
      </c>
    </row>
    <row r="83" spans="1:5" x14ac:dyDescent="0.35">
      <c r="A83" s="1">
        <f>Calculs!A83</f>
        <v>44307</v>
      </c>
      <c r="B83">
        <f>Calculs!B83</f>
        <v>1792.300048828125</v>
      </c>
      <c r="C83">
        <f>Calculs!C83</f>
        <v>1.09182226088704</v>
      </c>
      <c r="D83">
        <f t="shared" si="2"/>
        <v>8.4043522416786792E-3</v>
      </c>
      <c r="E83">
        <f t="shared" si="3"/>
        <v>-1.3110679656665278E-3</v>
      </c>
    </row>
    <row r="84" spans="1:5" x14ac:dyDescent="0.35">
      <c r="A84" s="1">
        <f>Calculs!A84</f>
        <v>44308</v>
      </c>
      <c r="B84">
        <f>Calculs!B84</f>
        <v>1781.199951171875</v>
      </c>
      <c r="C84">
        <f>Calculs!C84</f>
        <v>1.0908337400798442</v>
      </c>
      <c r="D84">
        <f t="shared" si="2"/>
        <v>-6.2124714463313632E-3</v>
      </c>
      <c r="E84">
        <f t="shared" si="3"/>
        <v>-9.0579630903385021E-4</v>
      </c>
    </row>
    <row r="85" spans="1:5" x14ac:dyDescent="0.35">
      <c r="A85" s="1">
        <f>Calculs!A85</f>
        <v>44309</v>
      </c>
      <c r="B85">
        <f>Calculs!B85</f>
        <v>1777</v>
      </c>
      <c r="C85">
        <f>Calculs!C85</f>
        <v>1.0904649856506612</v>
      </c>
      <c r="D85">
        <f t="shared" si="2"/>
        <v>-2.3607178798454131E-3</v>
      </c>
      <c r="E85">
        <f t="shared" si="3"/>
        <v>-3.3810539413613427E-4</v>
      </c>
    </row>
    <row r="86" spans="1:5" x14ac:dyDescent="0.35">
      <c r="A86" s="1">
        <f>Calculs!A86</f>
        <v>44312</v>
      </c>
      <c r="B86">
        <f>Calculs!B86</f>
        <v>1779.199951171875</v>
      </c>
      <c r="C86">
        <f>Calculs!C86</f>
        <v>1.0942235886706237</v>
      </c>
      <c r="D86">
        <f t="shared" si="2"/>
        <v>1.2372484577462129E-3</v>
      </c>
      <c r="E86">
        <f t="shared" si="3"/>
        <v>3.4408627137830551E-3</v>
      </c>
    </row>
    <row r="87" spans="1:5" x14ac:dyDescent="0.35">
      <c r="A87" s="1">
        <f>Calculs!A87</f>
        <v>44313</v>
      </c>
      <c r="B87">
        <f>Calculs!B87</f>
        <v>1778</v>
      </c>
      <c r="C87">
        <f>Calculs!C87</f>
        <v>1.093326324804516</v>
      </c>
      <c r="D87">
        <f t="shared" si="2"/>
        <v>-6.7466053854779728E-4</v>
      </c>
      <c r="E87">
        <f t="shared" si="3"/>
        <v>-8.2033686262307579E-4</v>
      </c>
    </row>
    <row r="88" spans="1:5" x14ac:dyDescent="0.35">
      <c r="A88" s="1">
        <f>Calculs!A88</f>
        <v>44314</v>
      </c>
      <c r="B88">
        <f>Calculs!B88</f>
        <v>1773.199951171875</v>
      </c>
      <c r="C88">
        <f>Calculs!C88</f>
        <v>1.0940439895619491</v>
      </c>
      <c r="D88">
        <f t="shared" si="2"/>
        <v>-2.7033407396791602E-3</v>
      </c>
      <c r="E88">
        <f t="shared" si="3"/>
        <v>6.5618956101853908E-4</v>
      </c>
    </row>
    <row r="89" spans="1:5" x14ac:dyDescent="0.35">
      <c r="A89" s="1">
        <f>Calculs!A89</f>
        <v>44315</v>
      </c>
      <c r="B89">
        <f>Calculs!B89</f>
        <v>1768.0999755859375</v>
      </c>
      <c r="C89">
        <f>Calculs!C89</f>
        <v>1.1004732164128117</v>
      </c>
      <c r="D89">
        <f t="shared" si="2"/>
        <v>-2.8802864582050088E-3</v>
      </c>
      <c r="E89">
        <f t="shared" si="3"/>
        <v>5.8593710065142504E-3</v>
      </c>
    </row>
    <row r="90" spans="1:5" x14ac:dyDescent="0.35">
      <c r="A90" s="1">
        <f>Calculs!A90</f>
        <v>44316</v>
      </c>
      <c r="B90">
        <f>Calculs!B90</f>
        <v>1767.300048828125</v>
      </c>
      <c r="C90">
        <f>Calculs!C90</f>
        <v>1.1001100358159008</v>
      </c>
      <c r="D90">
        <f t="shared" si="2"/>
        <v>-4.5252405155806857E-4</v>
      </c>
      <c r="E90">
        <f t="shared" si="3"/>
        <v>-3.3007667384583596E-4</v>
      </c>
    </row>
    <row r="91" spans="1:5" x14ac:dyDescent="0.35">
      <c r="A91" s="1">
        <f>Calculs!A91</f>
        <v>44319</v>
      </c>
      <c r="B91">
        <f>Calculs!B91</f>
        <v>1791.4000244140625</v>
      </c>
      <c r="C91">
        <f>Calculs!C91</f>
        <v>1.0954102659193832</v>
      </c>
      <c r="D91">
        <f t="shared" si="2"/>
        <v>1.3544464845169118E-2</v>
      </c>
      <c r="E91">
        <f t="shared" si="3"/>
        <v>-4.2812421924054442E-3</v>
      </c>
    </row>
    <row r="92" spans="1:5" x14ac:dyDescent="0.35">
      <c r="A92" s="1">
        <f>Calculs!A92</f>
        <v>44320</v>
      </c>
      <c r="B92">
        <f>Calculs!B92</f>
        <v>1775.800048828125</v>
      </c>
      <c r="C92">
        <f>Calculs!C92</f>
        <v>1.0970445958547457</v>
      </c>
      <c r="D92">
        <f t="shared" si="2"/>
        <v>-8.7463975749406207E-3</v>
      </c>
      <c r="E92">
        <f t="shared" si="3"/>
        <v>1.4908678546356698E-3</v>
      </c>
    </row>
    <row r="93" spans="1:5" x14ac:dyDescent="0.35">
      <c r="A93" s="1">
        <f>Calculs!A93</f>
        <v>44321</v>
      </c>
      <c r="B93">
        <f>Calculs!B93</f>
        <v>1784.0999755859375</v>
      </c>
      <c r="C93">
        <f>Calculs!C93</f>
        <v>1.0948106045107808</v>
      </c>
      <c r="D93">
        <f t="shared" si="2"/>
        <v>4.6630196017758254E-3</v>
      </c>
      <c r="E93">
        <f t="shared" si="3"/>
        <v>-2.0384486321564413E-3</v>
      </c>
    </row>
    <row r="94" spans="1:5" x14ac:dyDescent="0.35">
      <c r="A94" s="1">
        <f>Calculs!A94</f>
        <v>44322</v>
      </c>
      <c r="B94">
        <f>Calculs!B94</f>
        <v>1815.5</v>
      </c>
      <c r="C94">
        <f>Calculs!C94</f>
        <v>1.095158283812389</v>
      </c>
      <c r="D94">
        <f t="shared" si="2"/>
        <v>1.7446839157978355E-2</v>
      </c>
      <c r="E94">
        <f t="shared" si="3"/>
        <v>3.1751985736686164E-4</v>
      </c>
    </row>
    <row r="95" spans="1:5" x14ac:dyDescent="0.35">
      <c r="A95" s="1">
        <f>Calculs!A95</f>
        <v>44323</v>
      </c>
      <c r="B95">
        <f>Calculs!B95</f>
        <v>1831.0999755859375</v>
      </c>
      <c r="C95">
        <f>Calculs!C95</f>
        <v>1.1018191373084607</v>
      </c>
      <c r="D95">
        <f t="shared" si="2"/>
        <v>8.5559539602740597E-3</v>
      </c>
      <c r="E95">
        <f t="shared" si="3"/>
        <v>6.0636707878167313E-3</v>
      </c>
    </row>
    <row r="96" spans="1:5" x14ac:dyDescent="0.35">
      <c r="A96" s="1">
        <f>Calculs!A96</f>
        <v>44326</v>
      </c>
      <c r="B96">
        <f>Calculs!B96</f>
        <v>1837.5</v>
      </c>
      <c r="C96">
        <f>Calculs!C96</f>
        <v>1.1105558440155467</v>
      </c>
      <c r="D96">
        <f t="shared" si="2"/>
        <v>3.4890862723269988E-3</v>
      </c>
      <c r="E96">
        <f t="shared" si="3"/>
        <v>7.8980753234049756E-3</v>
      </c>
    </row>
    <row r="97" spans="1:5" x14ac:dyDescent="0.35">
      <c r="A97" s="1">
        <f>Calculs!A97</f>
        <v>44327</v>
      </c>
      <c r="B97">
        <f>Calculs!B97</f>
        <v>1835.9000244140625</v>
      </c>
      <c r="C97">
        <f>Calculs!C97</f>
        <v>1.1106421543413256</v>
      </c>
      <c r="D97">
        <f t="shared" si="2"/>
        <v>-8.7111432268797094E-4</v>
      </c>
      <c r="E97">
        <f t="shared" si="3"/>
        <v>7.7715112192781443E-5</v>
      </c>
    </row>
    <row r="98" spans="1:5" x14ac:dyDescent="0.35">
      <c r="A98" s="1">
        <f>Calculs!A98</f>
        <v>44328</v>
      </c>
      <c r="B98">
        <f>Calculs!B98</f>
        <v>1822.5999755859375</v>
      </c>
      <c r="C98">
        <f>Calculs!C98</f>
        <v>1.10639050498753</v>
      </c>
      <c r="D98">
        <f t="shared" si="2"/>
        <v>-7.270798097461572E-3</v>
      </c>
      <c r="E98">
        <f t="shared" si="3"/>
        <v>-3.8354460390529086E-3</v>
      </c>
    </row>
    <row r="99" spans="1:5" x14ac:dyDescent="0.35">
      <c r="A99" s="1">
        <f>Calculs!A99</f>
        <v>44329</v>
      </c>
      <c r="B99">
        <f>Calculs!B99</f>
        <v>1823.800048828125</v>
      </c>
      <c r="C99">
        <f>Calculs!C99</f>
        <v>1.1005943539718304</v>
      </c>
      <c r="D99">
        <f t="shared" si="2"/>
        <v>6.5822360546341995E-4</v>
      </c>
      <c r="E99">
        <f t="shared" si="3"/>
        <v>-5.2525637574754201E-3</v>
      </c>
    </row>
    <row r="100" spans="1:5" x14ac:dyDescent="0.35">
      <c r="A100" s="1">
        <f>Calculs!A100</f>
        <v>44330</v>
      </c>
      <c r="B100">
        <f>Calculs!B100</f>
        <v>1837.9000244140625</v>
      </c>
      <c r="C100">
        <f>Calculs!C100</f>
        <v>1.1038258650104864</v>
      </c>
      <c r="D100">
        <f t="shared" si="2"/>
        <v>7.7013654827954798E-3</v>
      </c>
      <c r="E100">
        <f t="shared" si="3"/>
        <v>2.9318487696649471E-3</v>
      </c>
    </row>
    <row r="101" spans="1:5" x14ac:dyDescent="0.35">
      <c r="A101" s="1">
        <f>Calculs!A101</f>
        <v>44333</v>
      </c>
      <c r="B101">
        <f>Calculs!B101</f>
        <v>1867.5</v>
      </c>
      <c r="C101">
        <f>Calculs!C101</f>
        <v>1.1096316066527303</v>
      </c>
      <c r="D101">
        <f t="shared" si="2"/>
        <v>1.597700925187108E-2</v>
      </c>
      <c r="E101">
        <f t="shared" si="3"/>
        <v>5.2458698941843874E-3</v>
      </c>
    </row>
    <row r="102" spans="1:5" x14ac:dyDescent="0.35">
      <c r="A102" s="1">
        <f>Calculs!A102</f>
        <v>44334</v>
      </c>
      <c r="B102">
        <f>Calculs!B102</f>
        <v>1867.800048828125</v>
      </c>
      <c r="C102">
        <f>Calculs!C102</f>
        <v>1.1070151206539889</v>
      </c>
      <c r="D102">
        <f t="shared" si="2"/>
        <v>1.6065581069687392E-4</v>
      </c>
      <c r="E102">
        <f t="shared" si="3"/>
        <v>-2.3607615789122071E-3</v>
      </c>
    </row>
    <row r="103" spans="1:5" x14ac:dyDescent="0.35">
      <c r="A103" s="1">
        <f>Calculs!A103</f>
        <v>44335</v>
      </c>
      <c r="B103">
        <f>Calculs!B103</f>
        <v>1881.300048828125</v>
      </c>
      <c r="C103">
        <f>Calculs!C103</f>
        <v>1.1142930334435701</v>
      </c>
      <c r="D103">
        <f t="shared" si="2"/>
        <v>7.2017593538749791E-3</v>
      </c>
      <c r="E103">
        <f t="shared" si="3"/>
        <v>6.5528403330831365E-3</v>
      </c>
    </row>
    <row r="104" spans="1:5" x14ac:dyDescent="0.35">
      <c r="A104" s="1">
        <f>Calculs!A104</f>
        <v>44336</v>
      </c>
      <c r="B104">
        <f>Calculs!B104</f>
        <v>1881.800048828125</v>
      </c>
      <c r="C104">
        <f>Calculs!C104</f>
        <v>1.1060968377720251</v>
      </c>
      <c r="D104">
        <f t="shared" si="2"/>
        <v>2.6573834868414716E-4</v>
      </c>
      <c r="E104">
        <f t="shared" si="3"/>
        <v>-7.3826970704855043E-3</v>
      </c>
    </row>
    <row r="105" spans="1:5" x14ac:dyDescent="0.35">
      <c r="A105" s="1">
        <f>Calculs!A105</f>
        <v>44337</v>
      </c>
      <c r="B105">
        <f>Calculs!B105</f>
        <v>1876.699951171875</v>
      </c>
      <c r="C105">
        <f>Calculs!C105</f>
        <v>1.1144544683754616</v>
      </c>
      <c r="D105">
        <f t="shared" si="2"/>
        <v>-2.7139022410788334E-3</v>
      </c>
      <c r="E105">
        <f t="shared" si="3"/>
        <v>7.5275631282530602E-3</v>
      </c>
    </row>
    <row r="106" spans="1:5" x14ac:dyDescent="0.35">
      <c r="A106" s="1">
        <f>Calculs!A106</f>
        <v>44340</v>
      </c>
      <c r="B106">
        <f>Calculs!B106</f>
        <v>1884.5999755859375</v>
      </c>
      <c r="C106">
        <f>Calculs!C106</f>
        <v>1.1143302607341161</v>
      </c>
      <c r="D106">
        <f t="shared" si="2"/>
        <v>4.2006945389998773E-3</v>
      </c>
      <c r="E106">
        <f t="shared" si="3"/>
        <v>-1.1145772837711519E-4</v>
      </c>
    </row>
    <row r="107" spans="1:5" x14ac:dyDescent="0.35">
      <c r="A107" s="1">
        <f>Calculs!A107</f>
        <v>44341</v>
      </c>
      <c r="B107">
        <f>Calculs!B107</f>
        <v>1898.0999755859375</v>
      </c>
      <c r="C107">
        <f>Calculs!C107</f>
        <v>1.1148271834121273</v>
      </c>
      <c r="D107">
        <f t="shared" si="2"/>
        <v>7.1377891404298434E-3</v>
      </c>
      <c r="E107">
        <f t="shared" si="3"/>
        <v>4.4583902096946316E-4</v>
      </c>
    </row>
    <row r="108" spans="1:5" x14ac:dyDescent="0.35">
      <c r="A108" s="1">
        <f>Calculs!A108</f>
        <v>44342</v>
      </c>
      <c r="B108">
        <f>Calculs!B108</f>
        <v>1901.300048828125</v>
      </c>
      <c r="C108">
        <f>Calculs!C108</f>
        <v>1.116569871237066</v>
      </c>
      <c r="D108">
        <f t="shared" si="2"/>
        <v>1.684515438402536E-3</v>
      </c>
      <c r="E108">
        <f t="shared" si="3"/>
        <v>1.5619704934342359E-3</v>
      </c>
    </row>
    <row r="109" spans="1:5" x14ac:dyDescent="0.35">
      <c r="A109" s="1">
        <f>Calculs!A109</f>
        <v>44343</v>
      </c>
      <c r="B109">
        <f>Calculs!B109</f>
        <v>1895.699951171875</v>
      </c>
      <c r="C109">
        <f>Calculs!C109</f>
        <v>1.113920675421491</v>
      </c>
      <c r="D109">
        <f t="shared" si="2"/>
        <v>-2.949750706768753E-3</v>
      </c>
      <c r="E109">
        <f t="shared" si="3"/>
        <v>-2.3754389502021155E-3</v>
      </c>
    </row>
    <row r="110" spans="1:5" x14ac:dyDescent="0.35">
      <c r="A110" s="1">
        <f>Calculs!A110</f>
        <v>44344</v>
      </c>
      <c r="B110">
        <f>Calculs!B110</f>
        <v>1902.5</v>
      </c>
      <c r="C110">
        <f>Calculs!C110</f>
        <v>1.1147650345827196</v>
      </c>
      <c r="D110">
        <f t="shared" si="2"/>
        <v>3.5806730456278716E-3</v>
      </c>
      <c r="E110">
        <f t="shared" si="3"/>
        <v>7.577194019206733E-4</v>
      </c>
    </row>
    <row r="111" spans="1:5" x14ac:dyDescent="0.35">
      <c r="A111" s="1">
        <f>Calculs!A111</f>
        <v>44348</v>
      </c>
      <c r="B111">
        <f>Calculs!B111</f>
        <v>1902.9000244140625</v>
      </c>
      <c r="C111">
        <f>Calculs!C111</f>
        <v>1.1130899269146484</v>
      </c>
      <c r="D111">
        <f t="shared" si="2"/>
        <v>2.1024040204428116E-4</v>
      </c>
      <c r="E111">
        <f t="shared" si="3"/>
        <v>-1.5037854911482565E-3</v>
      </c>
    </row>
    <row r="112" spans="1:5" x14ac:dyDescent="0.35">
      <c r="A112" s="1">
        <f>Calculs!A112</f>
        <v>44349</v>
      </c>
      <c r="B112">
        <f>Calculs!B112</f>
        <v>1907.5</v>
      </c>
      <c r="C112">
        <f>Calculs!C112</f>
        <v>1.1148520745171699</v>
      </c>
      <c r="D112">
        <f t="shared" si="2"/>
        <v>2.4144330207268982E-3</v>
      </c>
      <c r="E112">
        <f t="shared" si="3"/>
        <v>1.5818616183356617E-3</v>
      </c>
    </row>
    <row r="113" spans="1:5" x14ac:dyDescent="0.35">
      <c r="A113" s="1">
        <f>Calculs!A113</f>
        <v>44350</v>
      </c>
      <c r="B113">
        <f>Calculs!B113</f>
        <v>1871.199951171875</v>
      </c>
      <c r="C113">
        <f>Calculs!C113</f>
        <v>1.1133378170644346</v>
      </c>
      <c r="D113">
        <f t="shared" si="2"/>
        <v>-1.9213573983194728E-2</v>
      </c>
      <c r="E113">
        <f t="shared" si="3"/>
        <v>-1.3591819005851422E-3</v>
      </c>
    </row>
    <row r="114" spans="1:5" x14ac:dyDescent="0.35">
      <c r="A114" s="1">
        <f>Calculs!A114</f>
        <v>44351</v>
      </c>
      <c r="B114">
        <f>Calculs!B114</f>
        <v>1889.800048828125</v>
      </c>
      <c r="C114">
        <f>Calculs!C114</f>
        <v>1.1068068370847095</v>
      </c>
      <c r="D114">
        <f t="shared" si="2"/>
        <v>9.8911190108288208E-3</v>
      </c>
      <c r="E114">
        <f t="shared" si="3"/>
        <v>-5.8833993598854436E-3</v>
      </c>
    </row>
    <row r="115" spans="1:5" x14ac:dyDescent="0.35">
      <c r="A115" s="1">
        <f>Calculs!A115</f>
        <v>44354</v>
      </c>
      <c r="B115">
        <f>Calculs!B115</f>
        <v>1896.800048828125</v>
      </c>
      <c r="C115">
        <f>Calculs!C115</f>
        <v>1.1122233274851261</v>
      </c>
      <c r="D115">
        <f t="shared" si="2"/>
        <v>3.6972523073180667E-3</v>
      </c>
      <c r="E115">
        <f t="shared" si="3"/>
        <v>4.8818634773981091E-3</v>
      </c>
    </row>
    <row r="116" spans="1:5" x14ac:dyDescent="0.35">
      <c r="A116" s="1">
        <f>Calculs!A116</f>
        <v>44355</v>
      </c>
      <c r="B116">
        <f>Calculs!B116</f>
        <v>1892.199951171875</v>
      </c>
      <c r="C116">
        <f>Calculs!C116</f>
        <v>1.114206154772446</v>
      </c>
      <c r="D116">
        <f t="shared" si="2"/>
        <v>-2.428134028169905E-3</v>
      </c>
      <c r="E116">
        <f t="shared" si="3"/>
        <v>1.7811727946864372E-3</v>
      </c>
    </row>
    <row r="117" spans="1:5" x14ac:dyDescent="0.35">
      <c r="A117" s="1">
        <f>Calculs!A117</f>
        <v>44356</v>
      </c>
      <c r="B117">
        <f>Calculs!B117</f>
        <v>1893.199951171875</v>
      </c>
      <c r="C117">
        <f>Calculs!C117</f>
        <v>1.1150758480419163</v>
      </c>
      <c r="D117">
        <f t="shared" si="2"/>
        <v>5.2834577537939648E-4</v>
      </c>
      <c r="E117">
        <f t="shared" si="3"/>
        <v>7.8024522020419163E-4</v>
      </c>
    </row>
    <row r="118" spans="1:5" x14ac:dyDescent="0.35">
      <c r="A118" s="1">
        <f>Calculs!A118</f>
        <v>44357</v>
      </c>
      <c r="B118">
        <f>Calculs!B118</f>
        <v>1894.199951171875</v>
      </c>
      <c r="C118">
        <f>Calculs!C118</f>
        <v>1.116569871237066</v>
      </c>
      <c r="D118">
        <f t="shared" si="2"/>
        <v>5.2806677352404028E-4</v>
      </c>
      <c r="E118">
        <f t="shared" si="3"/>
        <v>1.3389431892760098E-3</v>
      </c>
    </row>
    <row r="119" spans="1:5" x14ac:dyDescent="0.35">
      <c r="A119" s="1">
        <f>Calculs!A119</f>
        <v>44358</v>
      </c>
      <c r="B119">
        <f>Calculs!B119</f>
        <v>1877.4000244140625</v>
      </c>
      <c r="C119">
        <f>Calculs!C119</f>
        <v>1.117755568785487</v>
      </c>
      <c r="D119">
        <f t="shared" si="2"/>
        <v>-8.9087061072183459E-3</v>
      </c>
      <c r="E119">
        <f t="shared" si="3"/>
        <v>1.0613473207485801E-3</v>
      </c>
    </row>
    <row r="120" spans="1:5" x14ac:dyDescent="0.35">
      <c r="A120" s="1">
        <f>Calculs!A120</f>
        <v>44361</v>
      </c>
      <c r="B120">
        <f>Calculs!B120</f>
        <v>1864</v>
      </c>
      <c r="C120">
        <f>Calculs!C120</f>
        <v>1.1139430113641042</v>
      </c>
      <c r="D120">
        <f t="shared" si="2"/>
        <v>-7.1631376615428777E-3</v>
      </c>
      <c r="E120">
        <f t="shared" si="3"/>
        <v>-3.4167348263794911E-3</v>
      </c>
    </row>
    <row r="121" spans="1:5" x14ac:dyDescent="0.35">
      <c r="A121" s="1">
        <f>Calculs!A121</f>
        <v>44362</v>
      </c>
      <c r="B121">
        <f>Calculs!B121</f>
        <v>1854.5</v>
      </c>
      <c r="C121">
        <f>Calculs!C121</f>
        <v>1.1122233274851261</v>
      </c>
      <c r="D121">
        <f t="shared" si="2"/>
        <v>-5.1095983158909782E-3</v>
      </c>
      <c r="E121">
        <f t="shared" si="3"/>
        <v>-1.5449736985357965E-3</v>
      </c>
    </row>
    <row r="122" spans="1:5" x14ac:dyDescent="0.35">
      <c r="A122" s="1">
        <f>Calculs!A122</f>
        <v>44363</v>
      </c>
      <c r="B122">
        <f>Calculs!B122</f>
        <v>1859.5</v>
      </c>
      <c r="C122">
        <f>Calculs!C122</f>
        <v>1.1129660232306193</v>
      </c>
      <c r="D122">
        <f t="shared" si="2"/>
        <v>2.6925164354793135E-3</v>
      </c>
      <c r="E122">
        <f t="shared" si="3"/>
        <v>6.6753489794760929E-4</v>
      </c>
    </row>
    <row r="123" spans="1:5" x14ac:dyDescent="0.35">
      <c r="A123" s="1">
        <f>Calculs!A123</f>
        <v>44364</v>
      </c>
      <c r="B123">
        <f>Calculs!B123</f>
        <v>1773.800048828125</v>
      </c>
      <c r="C123">
        <f>Calculs!C123</f>
        <v>1.1006791228060506</v>
      </c>
      <c r="D123">
        <f t="shared" si="2"/>
        <v>-4.7183468895360209E-2</v>
      </c>
      <c r="E123">
        <f t="shared" si="3"/>
        <v>-1.1101170961097053E-2</v>
      </c>
    </row>
    <row r="124" spans="1:5" x14ac:dyDescent="0.35">
      <c r="A124" s="1">
        <f>Calculs!A124</f>
        <v>44365</v>
      </c>
      <c r="B124">
        <f>Calculs!B124</f>
        <v>1767.9000244140625</v>
      </c>
      <c r="C124">
        <f>Calculs!C124</f>
        <v>1.0897401155601998</v>
      </c>
      <c r="D124">
        <f t="shared" si="2"/>
        <v>-3.3317501481472242E-3</v>
      </c>
      <c r="E124">
        <f t="shared" si="3"/>
        <v>-9.9881319486640925E-3</v>
      </c>
    </row>
    <row r="125" spans="1:5" x14ac:dyDescent="0.35">
      <c r="A125" s="1">
        <f>Calculs!A125</f>
        <v>44368</v>
      </c>
      <c r="B125">
        <f>Calculs!B125</f>
        <v>1781.800048828125</v>
      </c>
      <c r="C125">
        <f>Calculs!C125</f>
        <v>1.0840225901790899</v>
      </c>
      <c r="D125">
        <f t="shared" si="2"/>
        <v>7.8317013687450379E-3</v>
      </c>
      <c r="E125">
        <f t="shared" si="3"/>
        <v>-5.2604992725543134E-3</v>
      </c>
    </row>
    <row r="126" spans="1:5" x14ac:dyDescent="0.35">
      <c r="A126" s="1">
        <f>Calculs!A126</f>
        <v>44369</v>
      </c>
      <c r="B126">
        <f>Calculs!B126</f>
        <v>1776.300048828125</v>
      </c>
      <c r="C126">
        <f>Calculs!C126</f>
        <v>1.0885538899907081</v>
      </c>
      <c r="D126">
        <f t="shared" si="2"/>
        <v>-3.09153999585223E-3</v>
      </c>
      <c r="E126">
        <f t="shared" si="3"/>
        <v>4.1713665074379815E-3</v>
      </c>
    </row>
    <row r="127" spans="1:5" x14ac:dyDescent="0.35">
      <c r="A127" s="1">
        <f>Calculs!A127</f>
        <v>44370</v>
      </c>
      <c r="B127">
        <f>Calculs!B127</f>
        <v>1782.300048828125</v>
      </c>
      <c r="C127">
        <f>Calculs!C127</f>
        <v>1.0886249468980169</v>
      </c>
      <c r="D127">
        <f t="shared" si="2"/>
        <v>3.3721157314263658E-3</v>
      </c>
      <c r="E127">
        <f t="shared" si="3"/>
        <v>6.5274295459884652E-5</v>
      </c>
    </row>
    <row r="128" spans="1:5" x14ac:dyDescent="0.35">
      <c r="A128" s="1">
        <f>Calculs!A128</f>
        <v>44371</v>
      </c>
      <c r="B128">
        <f>Calculs!B128</f>
        <v>1775.5999755859375</v>
      </c>
      <c r="C128">
        <f>Calculs!C128</f>
        <v>1.0891940898494028</v>
      </c>
      <c r="D128">
        <f t="shared" si="2"/>
        <v>-3.7663122158099844E-3</v>
      </c>
      <c r="E128">
        <f t="shared" si="3"/>
        <v>5.2267241193080637E-4</v>
      </c>
    </row>
    <row r="129" spans="1:5" x14ac:dyDescent="0.35">
      <c r="A129" s="1">
        <f>Calculs!A129</f>
        <v>44372</v>
      </c>
      <c r="B129">
        <f>Calculs!B129</f>
        <v>1776.5999755859375</v>
      </c>
      <c r="C129">
        <f>Calculs!C129</f>
        <v>1.0891704019790096</v>
      </c>
      <c r="D129">
        <f t="shared" si="2"/>
        <v>5.630313834598243E-4</v>
      </c>
      <c r="E129">
        <f t="shared" si="3"/>
        <v>-2.1748307487589599E-5</v>
      </c>
    </row>
    <row r="130" spans="1:5" x14ac:dyDescent="0.35">
      <c r="A130" s="1">
        <f>Calculs!A130</f>
        <v>44375</v>
      </c>
      <c r="B130">
        <f>Calculs!B130</f>
        <v>1779.5999755859375</v>
      </c>
      <c r="C130">
        <f>Calculs!C130</f>
        <v>1.0908813325993696</v>
      </c>
      <c r="D130">
        <f t="shared" si="2"/>
        <v>1.6871946194519283E-3</v>
      </c>
      <c r="E130">
        <f t="shared" si="3"/>
        <v>1.5696241923929032E-3</v>
      </c>
    </row>
    <row r="131" spans="1:5" x14ac:dyDescent="0.35">
      <c r="A131" s="1">
        <f>Calculs!A131</f>
        <v>44376</v>
      </c>
      <c r="B131">
        <f>Calculs!B131</f>
        <v>1762.800048828125</v>
      </c>
      <c r="C131">
        <f>Calculs!C131</f>
        <v>1.0874174644113075</v>
      </c>
      <c r="D131">
        <f t="shared" si="2"/>
        <v>-9.4851245460208285E-3</v>
      </c>
      <c r="E131">
        <f t="shared" si="3"/>
        <v>-3.1803452423062838E-3</v>
      </c>
    </row>
    <row r="132" spans="1:5" x14ac:dyDescent="0.35">
      <c r="A132" s="1">
        <f>Calculs!A132</f>
        <v>44377</v>
      </c>
      <c r="B132">
        <f>Calculs!B132</f>
        <v>1770.800048828125</v>
      </c>
      <c r="C132">
        <f>Calculs!C132</f>
        <v>1.0858942489704622</v>
      </c>
      <c r="D132">
        <f t="shared" ref="D132:D195" si="4">LN(B132/B131)</f>
        <v>4.5279677650164824E-3</v>
      </c>
      <c r="E132">
        <f t="shared" ref="E132:E195" si="5">LN(C132/C131)</f>
        <v>-1.4017461746322849E-3</v>
      </c>
    </row>
    <row r="133" spans="1:5" x14ac:dyDescent="0.35">
      <c r="A133" s="1">
        <f>Calculs!A133</f>
        <v>44378</v>
      </c>
      <c r="B133">
        <f>Calculs!B133</f>
        <v>1775.9000244140625</v>
      </c>
      <c r="C133">
        <f>Calculs!C133</f>
        <v>1.0811395168192779</v>
      </c>
      <c r="D133">
        <f t="shared" si="4"/>
        <v>2.8759009759461445E-3</v>
      </c>
      <c r="E133">
        <f t="shared" si="5"/>
        <v>-4.3882470649842555E-3</v>
      </c>
    </row>
    <row r="134" spans="1:5" x14ac:dyDescent="0.35">
      <c r="A134" s="1">
        <f>Calculs!A134</f>
        <v>44379</v>
      </c>
      <c r="B134">
        <f>Calculs!B134</f>
        <v>1782.5999755859375</v>
      </c>
      <c r="C134">
        <f>Calculs!C134</f>
        <v>1.0800302613154196</v>
      </c>
      <c r="D134">
        <f t="shared" si="4"/>
        <v>3.7656085928761485E-3</v>
      </c>
      <c r="E134">
        <f t="shared" si="5"/>
        <v>-1.0265325866475284E-3</v>
      </c>
    </row>
    <row r="135" spans="1:5" x14ac:dyDescent="0.35">
      <c r="A135" s="1">
        <f>Calculs!A135</f>
        <v>44383</v>
      </c>
      <c r="B135">
        <f>Calculs!B135</f>
        <v>1793.5</v>
      </c>
      <c r="C135">
        <f>Calculs!C135</f>
        <v>1.084481066944464</v>
      </c>
      <c r="D135">
        <f t="shared" si="4"/>
        <v>6.0960589714808182E-3</v>
      </c>
      <c r="E135">
        <f t="shared" si="5"/>
        <v>4.1125327864492949E-3</v>
      </c>
    </row>
    <row r="136" spans="1:5" x14ac:dyDescent="0.35">
      <c r="A136" s="1">
        <f>Calculs!A136</f>
        <v>44384</v>
      </c>
      <c r="B136">
        <f>Calculs!B136</f>
        <v>1801.5</v>
      </c>
      <c r="C136">
        <f>Calculs!C136</f>
        <v>1.0814669239240327</v>
      </c>
      <c r="D136">
        <f t="shared" si="4"/>
        <v>4.4506332158106765E-3</v>
      </c>
      <c r="E136">
        <f t="shared" si="5"/>
        <v>-2.7832108423968371E-3</v>
      </c>
    </row>
    <row r="137" spans="1:5" x14ac:dyDescent="0.35">
      <c r="A137" s="1">
        <f>Calculs!A137</f>
        <v>44385</v>
      </c>
      <c r="B137">
        <f>Calculs!B137</f>
        <v>1799.5999755859375</v>
      </c>
      <c r="C137">
        <f>Calculs!C137</f>
        <v>1.0806137668047866</v>
      </c>
      <c r="D137">
        <f t="shared" si="4"/>
        <v>-1.0552467875135981E-3</v>
      </c>
      <c r="E137">
        <f t="shared" si="5"/>
        <v>-7.8920011374781585E-4</v>
      </c>
    </row>
    <row r="138" spans="1:5" x14ac:dyDescent="0.35">
      <c r="A138" s="1">
        <f>Calculs!A138</f>
        <v>44386</v>
      </c>
      <c r="B138">
        <f>Calculs!B138</f>
        <v>1810</v>
      </c>
      <c r="C138">
        <f>Calculs!C138</f>
        <v>1.093206781795621</v>
      </c>
      <c r="D138">
        <f t="shared" si="4"/>
        <v>5.7624408592370311E-3</v>
      </c>
      <c r="E138">
        <f t="shared" si="5"/>
        <v>1.1586196360533773E-2</v>
      </c>
    </row>
    <row r="139" spans="1:5" x14ac:dyDescent="0.35">
      <c r="A139" s="1">
        <f>Calculs!A139</f>
        <v>44389</v>
      </c>
      <c r="B139">
        <f>Calculs!B139</f>
        <v>1805.5</v>
      </c>
      <c r="C139">
        <f>Calculs!C139</f>
        <v>1.0940439895619491</v>
      </c>
      <c r="D139">
        <f t="shared" si="4"/>
        <v>-2.4892835423589803E-3</v>
      </c>
      <c r="E139">
        <f t="shared" si="5"/>
        <v>7.6553435772254528E-4</v>
      </c>
    </row>
    <row r="140" spans="1:5" x14ac:dyDescent="0.35">
      <c r="A140" s="1">
        <f>Calculs!A140</f>
        <v>44390</v>
      </c>
      <c r="B140">
        <f>Calculs!B140</f>
        <v>1809.4000244140625</v>
      </c>
      <c r="C140">
        <f>Calculs!C140</f>
        <v>1.0928723000662868</v>
      </c>
      <c r="D140">
        <f t="shared" si="4"/>
        <v>2.1577503670339305E-3</v>
      </c>
      <c r="E140">
        <f t="shared" si="5"/>
        <v>-1.0715449999904511E-3</v>
      </c>
    </row>
    <row r="141" spans="1:5" x14ac:dyDescent="0.35">
      <c r="A141" s="1">
        <f>Calculs!A141</f>
        <v>44391</v>
      </c>
      <c r="B141">
        <f>Calculs!B141</f>
        <v>1824.300048828125</v>
      </c>
      <c r="C141">
        <f>Calculs!C141</f>
        <v>1.0883761470877604</v>
      </c>
      <c r="D141">
        <f t="shared" si="4"/>
        <v>8.2010664750303344E-3</v>
      </c>
      <c r="E141">
        <f t="shared" si="5"/>
        <v>-4.1225559172249132E-3</v>
      </c>
    </row>
    <row r="142" spans="1:5" x14ac:dyDescent="0.35">
      <c r="A142" s="1">
        <f>Calculs!A142</f>
        <v>44392</v>
      </c>
      <c r="B142">
        <f>Calculs!B142</f>
        <v>1828.4000244140625</v>
      </c>
      <c r="C142">
        <f>Calculs!C142</f>
        <v>1.093266550032217</v>
      </c>
      <c r="D142">
        <f t="shared" si="4"/>
        <v>2.2449022507048935E-3</v>
      </c>
      <c r="E142">
        <f t="shared" si="5"/>
        <v>4.4832374633092696E-3</v>
      </c>
    </row>
    <row r="143" spans="1:5" x14ac:dyDescent="0.35">
      <c r="A143" s="1">
        <f>Calculs!A143</f>
        <v>44393</v>
      </c>
      <c r="B143">
        <f>Calculs!B143</f>
        <v>1814.5</v>
      </c>
      <c r="C143">
        <f>Calculs!C143</f>
        <v>1.0895619850957217</v>
      </c>
      <c r="D143">
        <f t="shared" si="4"/>
        <v>-7.6313331571564811E-3</v>
      </c>
      <c r="E143">
        <f t="shared" si="5"/>
        <v>-3.3942826324801162E-3</v>
      </c>
    </row>
    <row r="144" spans="1:5" x14ac:dyDescent="0.35">
      <c r="A144" s="1">
        <f>Calculs!A144</f>
        <v>44396</v>
      </c>
      <c r="B144">
        <f>Calculs!B144</f>
        <v>1808.699951171875</v>
      </c>
      <c r="C144">
        <f>Calculs!C144</f>
        <v>1.0886960837295598</v>
      </c>
      <c r="D144">
        <f t="shared" si="4"/>
        <v>-3.2016194859100151E-3</v>
      </c>
      <c r="E144">
        <f t="shared" si="5"/>
        <v>-7.9504024262775112E-4</v>
      </c>
    </row>
    <row r="145" spans="1:5" x14ac:dyDescent="0.35">
      <c r="A145" s="1">
        <f>Calculs!A145</f>
        <v>44397</v>
      </c>
      <c r="B145">
        <f>Calculs!B145</f>
        <v>1810.9000244140625</v>
      </c>
      <c r="C145">
        <f>Calculs!C145</f>
        <v>1.0887316203060207</v>
      </c>
      <c r="D145">
        <f t="shared" si="4"/>
        <v>1.2156445618103438E-3</v>
      </c>
      <c r="E145">
        <f t="shared" si="5"/>
        <v>3.2640878407198398E-5</v>
      </c>
    </row>
    <row r="146" spans="1:5" x14ac:dyDescent="0.35">
      <c r="A146" s="1">
        <f>Calculs!A146</f>
        <v>44398</v>
      </c>
      <c r="B146">
        <f>Calculs!B146</f>
        <v>1802.9000244140625</v>
      </c>
      <c r="C146">
        <f>Calculs!C146</f>
        <v>1.0855052270444352</v>
      </c>
      <c r="D146">
        <f t="shared" si="4"/>
        <v>-4.4274796393197775E-3</v>
      </c>
      <c r="E146">
        <f t="shared" si="5"/>
        <v>-2.9678419199936842E-3</v>
      </c>
    </row>
    <row r="147" spans="1:5" x14ac:dyDescent="0.35">
      <c r="A147" s="1">
        <f>Calculs!A147</f>
        <v>44399</v>
      </c>
      <c r="B147">
        <f>Calculs!B147</f>
        <v>1805</v>
      </c>
      <c r="C147">
        <f>Calculs!C147</f>
        <v>1.0898351139742255</v>
      </c>
      <c r="D147">
        <f t="shared" si="4"/>
        <v>1.1640986772757504E-3</v>
      </c>
      <c r="E147">
        <f t="shared" si="5"/>
        <v>3.9808875570300538E-3</v>
      </c>
    </row>
    <row r="148" spans="1:5" x14ac:dyDescent="0.35">
      <c r="A148" s="1">
        <f>Calculs!A148</f>
        <v>44400</v>
      </c>
      <c r="B148">
        <f>Calculs!B148</f>
        <v>1801.4000244140625</v>
      </c>
      <c r="C148">
        <f>Calculs!C148</f>
        <v>1.0879971984935417</v>
      </c>
      <c r="D148">
        <f t="shared" si="4"/>
        <v>-1.9964378645119601E-3</v>
      </c>
      <c r="E148">
        <f t="shared" si="5"/>
        <v>-1.687839698661374E-3</v>
      </c>
    </row>
    <row r="149" spans="1:5" x14ac:dyDescent="0.35">
      <c r="A149" s="1">
        <f>Calculs!A149</f>
        <v>44403</v>
      </c>
      <c r="B149">
        <f>Calculs!B149</f>
        <v>1798.699951171875</v>
      </c>
      <c r="C149">
        <f>Calculs!C149</f>
        <v>1.0875121287770984</v>
      </c>
      <c r="D149">
        <f t="shared" si="4"/>
        <v>-1.4999993148864131E-3</v>
      </c>
      <c r="E149">
        <f t="shared" si="5"/>
        <v>-4.4593669942139398E-4</v>
      </c>
    </row>
    <row r="150" spans="1:5" x14ac:dyDescent="0.35">
      <c r="A150" s="1">
        <f>Calculs!A150</f>
        <v>44404</v>
      </c>
      <c r="B150">
        <f>Calculs!B150</f>
        <v>1799.5</v>
      </c>
      <c r="C150">
        <f>Calculs!C150</f>
        <v>1.0923470281342311</v>
      </c>
      <c r="D150">
        <f t="shared" si="4"/>
        <v>4.4469393150253208E-4</v>
      </c>
      <c r="E150">
        <f t="shared" si="5"/>
        <v>4.4359813524668416E-3</v>
      </c>
    </row>
    <row r="151" spans="1:5" x14ac:dyDescent="0.35">
      <c r="A151" s="1">
        <f>Calculs!A151</f>
        <v>44405</v>
      </c>
      <c r="B151">
        <f>Calculs!B151</f>
        <v>1799.5</v>
      </c>
      <c r="C151">
        <f>Calculs!C151</f>
        <v>1.0936133204650571</v>
      </c>
      <c r="D151">
        <f t="shared" si="4"/>
        <v>0</v>
      </c>
      <c r="E151">
        <f t="shared" si="5"/>
        <v>1.1585685653270599E-3</v>
      </c>
    </row>
    <row r="152" spans="1:5" x14ac:dyDescent="0.35">
      <c r="A152" s="1">
        <f>Calculs!A152</f>
        <v>44406</v>
      </c>
      <c r="B152">
        <f>Calculs!B152</f>
        <v>1831.199951171875</v>
      </c>
      <c r="C152">
        <f>Calculs!C152</f>
        <v>1.0995052191910835</v>
      </c>
      <c r="D152">
        <f t="shared" si="4"/>
        <v>1.7462614454720644E-2</v>
      </c>
      <c r="E152">
        <f t="shared" si="5"/>
        <v>5.3730911434664149E-3</v>
      </c>
    </row>
    <row r="153" spans="1:5" x14ac:dyDescent="0.35">
      <c r="A153" s="1">
        <f>Calculs!A153</f>
        <v>44407</v>
      </c>
      <c r="B153">
        <f>Calculs!B153</f>
        <v>1812.5999755859375</v>
      </c>
      <c r="C153">
        <f>Calculs!C153</f>
        <v>1.1040939859668613</v>
      </c>
      <c r="D153">
        <f t="shared" si="4"/>
        <v>-1.0209197822209233E-2</v>
      </c>
      <c r="E153">
        <f t="shared" si="5"/>
        <v>4.164798569471502E-3</v>
      </c>
    </row>
    <row r="154" spans="1:5" x14ac:dyDescent="0.35">
      <c r="A154" s="1">
        <f>Calculs!A154</f>
        <v>44410</v>
      </c>
      <c r="B154">
        <f>Calculs!B154</f>
        <v>1818.0999755859375</v>
      </c>
      <c r="C154">
        <f>Calculs!C154</f>
        <v>1.103862396181555</v>
      </c>
      <c r="D154">
        <f t="shared" si="4"/>
        <v>3.0297211452917027E-3</v>
      </c>
      <c r="E154">
        <f t="shared" si="5"/>
        <v>-2.0977750106658939E-4</v>
      </c>
    </row>
    <row r="155" spans="1:5" x14ac:dyDescent="0.35">
      <c r="A155" s="1">
        <f>Calculs!A155</f>
        <v>44411</v>
      </c>
      <c r="B155">
        <f>Calculs!B155</f>
        <v>1810.0999755859375</v>
      </c>
      <c r="C155">
        <f>Calculs!C155</f>
        <v>1.1046428376254533</v>
      </c>
      <c r="D155">
        <f t="shared" si="4"/>
        <v>-4.4099074320683761E-3</v>
      </c>
      <c r="E155">
        <f t="shared" si="5"/>
        <v>7.0675990659944683E-4</v>
      </c>
    </row>
    <row r="156" spans="1:5" x14ac:dyDescent="0.35">
      <c r="A156" s="1">
        <f>Calculs!A156</f>
        <v>44412</v>
      </c>
      <c r="B156">
        <f>Calculs!B156</f>
        <v>1810.5</v>
      </c>
      <c r="C156">
        <f>Calculs!C156</f>
        <v>1.1064150207770815</v>
      </c>
      <c r="D156">
        <f t="shared" si="4"/>
        <v>2.2097134087597074E-4</v>
      </c>
      <c r="E156">
        <f t="shared" si="5"/>
        <v>1.6030186857274821E-3</v>
      </c>
    </row>
    <row r="157" spans="1:5" x14ac:dyDescent="0.35">
      <c r="A157" s="1">
        <f>Calculs!A157</f>
        <v>44413</v>
      </c>
      <c r="B157">
        <f>Calculs!B157</f>
        <v>1805.0999755859375</v>
      </c>
      <c r="C157">
        <f>Calculs!C157</f>
        <v>1.1032656360753814</v>
      </c>
      <c r="D157">
        <f t="shared" si="4"/>
        <v>-2.9870718363273446E-3</v>
      </c>
      <c r="E157">
        <f t="shared" si="5"/>
        <v>-2.8505357319162871E-3</v>
      </c>
    </row>
    <row r="158" spans="1:5" x14ac:dyDescent="0.35">
      <c r="A158" s="1">
        <f>Calculs!A158</f>
        <v>44414</v>
      </c>
      <c r="B158">
        <f>Calculs!B158</f>
        <v>1760</v>
      </c>
      <c r="C158">
        <f>Calculs!C158</f>
        <v>1.103143982337299</v>
      </c>
      <c r="D158">
        <f t="shared" si="4"/>
        <v>-2.5302169337171061E-2</v>
      </c>
      <c r="E158">
        <f t="shared" si="5"/>
        <v>-1.1027303107316479E-4</v>
      </c>
    </row>
    <row r="159" spans="1:5" x14ac:dyDescent="0.35">
      <c r="A159" s="1">
        <f>Calculs!A159</f>
        <v>44417</v>
      </c>
      <c r="B159">
        <f>Calculs!B159</f>
        <v>1723.4000244140625</v>
      </c>
      <c r="C159">
        <f>Calculs!C159</f>
        <v>1.0921799891011255</v>
      </c>
      <c r="D159">
        <f t="shared" si="4"/>
        <v>-2.1014711060311712E-2</v>
      </c>
      <c r="E159">
        <f t="shared" si="5"/>
        <v>-9.9885798512768589E-3</v>
      </c>
    </row>
    <row r="160" spans="1:5" x14ac:dyDescent="0.35">
      <c r="A160" s="1">
        <f>Calculs!A160</f>
        <v>44418</v>
      </c>
      <c r="B160">
        <f>Calculs!B160</f>
        <v>1728.800048828125</v>
      </c>
      <c r="C160">
        <f>Calculs!C160</f>
        <v>1.086248102554175</v>
      </c>
      <c r="D160">
        <f t="shared" si="4"/>
        <v>3.1284564647309984E-3</v>
      </c>
      <c r="E160">
        <f t="shared" si="5"/>
        <v>-5.4460381143463668E-3</v>
      </c>
    </row>
    <row r="161" spans="1:5" x14ac:dyDescent="0.35">
      <c r="A161" s="1">
        <f>Calculs!A161</f>
        <v>44419</v>
      </c>
      <c r="B161">
        <f>Calculs!B161</f>
        <v>1750.4000244140625</v>
      </c>
      <c r="C161">
        <f>Calculs!C161</f>
        <v>1.0834705924861698</v>
      </c>
      <c r="D161">
        <f t="shared" si="4"/>
        <v>1.2416792738750166E-2</v>
      </c>
      <c r="E161">
        <f t="shared" si="5"/>
        <v>-2.5602504062315332E-3</v>
      </c>
    </row>
    <row r="162" spans="1:5" x14ac:dyDescent="0.35">
      <c r="A162" s="1">
        <f>Calculs!A162</f>
        <v>44420</v>
      </c>
      <c r="B162">
        <f>Calculs!B162</f>
        <v>1749</v>
      </c>
      <c r="C162">
        <f>Calculs!C162</f>
        <v>1.0852343340513584</v>
      </c>
      <c r="D162">
        <f t="shared" si="4"/>
        <v>-8.0015115676472927E-4</v>
      </c>
      <c r="E162">
        <f t="shared" si="5"/>
        <v>1.6265393530092958E-3</v>
      </c>
    </row>
    <row r="163" spans="1:5" x14ac:dyDescent="0.35">
      <c r="A163" s="1">
        <f>Calculs!A163</f>
        <v>44421</v>
      </c>
      <c r="B163">
        <f>Calculs!B163</f>
        <v>1775.199951171875</v>
      </c>
      <c r="C163">
        <f>Calculs!C163</f>
        <v>1.0833531948757285</v>
      </c>
      <c r="D163">
        <f t="shared" si="4"/>
        <v>1.4868869094078072E-2</v>
      </c>
      <c r="E163">
        <f t="shared" si="5"/>
        <v>-1.7348985202299849E-3</v>
      </c>
    </row>
    <row r="164" spans="1:5" x14ac:dyDescent="0.35">
      <c r="A164" s="1">
        <f>Calculs!A164</f>
        <v>44424</v>
      </c>
      <c r="B164">
        <f>Calculs!B164</f>
        <v>1786.9000244140625</v>
      </c>
      <c r="C164">
        <f>Calculs!C164</f>
        <v>1.0924185811256044</v>
      </c>
      <c r="D164">
        <f t="shared" si="4"/>
        <v>6.5692234347381586E-3</v>
      </c>
      <c r="E164">
        <f t="shared" si="5"/>
        <v>8.3330786880558855E-3</v>
      </c>
    </row>
    <row r="165" spans="1:5" x14ac:dyDescent="0.35">
      <c r="A165" s="1">
        <f>Calculs!A165</f>
        <v>44425</v>
      </c>
      <c r="B165">
        <f>Calculs!B165</f>
        <v>1785</v>
      </c>
      <c r="C165">
        <f>Calculs!C165</f>
        <v>1.0958903823254107</v>
      </c>
      <c r="D165">
        <f t="shared" si="4"/>
        <v>-1.0638733336789578E-3</v>
      </c>
      <c r="E165">
        <f t="shared" si="5"/>
        <v>3.1730474724543313E-3</v>
      </c>
    </row>
    <row r="166" spans="1:5" x14ac:dyDescent="0.35">
      <c r="A166" s="1">
        <f>Calculs!A166</f>
        <v>44426</v>
      </c>
      <c r="B166">
        <f>Calculs!B166</f>
        <v>1781.5999755859375</v>
      </c>
      <c r="C166">
        <f>Calculs!C166</f>
        <v>1.0931948859181084</v>
      </c>
      <c r="D166">
        <f t="shared" si="4"/>
        <v>-1.9065919740294643E-3</v>
      </c>
      <c r="E166">
        <f t="shared" si="5"/>
        <v>-2.4626704210170876E-3</v>
      </c>
    </row>
    <row r="167" spans="1:5" x14ac:dyDescent="0.35">
      <c r="A167" s="1">
        <f>Calculs!A167</f>
        <v>44427</v>
      </c>
      <c r="B167">
        <f>Calculs!B167</f>
        <v>1780.199951171875</v>
      </c>
      <c r="C167">
        <f>Calculs!C167</f>
        <v>1.0898470076396791</v>
      </c>
      <c r="D167">
        <f t="shared" si="4"/>
        <v>-7.8613314332833992E-4</v>
      </c>
      <c r="E167">
        <f t="shared" si="5"/>
        <v>-3.0671705503366913E-3</v>
      </c>
    </row>
    <row r="168" spans="1:5" x14ac:dyDescent="0.35">
      <c r="A168" s="1">
        <f>Calculs!A168</f>
        <v>44428</v>
      </c>
      <c r="B168">
        <f>Calculs!B168</f>
        <v>1781</v>
      </c>
      <c r="C168">
        <f>Calculs!C168</f>
        <v>1.0882340369045203</v>
      </c>
      <c r="D168">
        <f t="shared" si="4"/>
        <v>4.4931419328005123E-4</v>
      </c>
      <c r="E168">
        <f t="shared" si="5"/>
        <v>-1.4810936756053017E-3</v>
      </c>
    </row>
    <row r="169" spans="1:5" x14ac:dyDescent="0.35">
      <c r="A169" s="1">
        <f>Calculs!A169</f>
        <v>44431</v>
      </c>
      <c r="B169">
        <f>Calculs!B169</f>
        <v>1803.199951171875</v>
      </c>
      <c r="C169">
        <f>Calculs!C169</f>
        <v>1.0903698774007715</v>
      </c>
      <c r="D169">
        <f t="shared" si="4"/>
        <v>1.2387832917253414E-2</v>
      </c>
      <c r="E169">
        <f t="shared" si="5"/>
        <v>1.9607429937117458E-3</v>
      </c>
    </row>
    <row r="170" spans="1:5" x14ac:dyDescent="0.35">
      <c r="A170" s="1">
        <f>Calculs!A170</f>
        <v>44432</v>
      </c>
      <c r="B170">
        <f>Calculs!B170</f>
        <v>1805.5999755859375</v>
      </c>
      <c r="C170">
        <f>Calculs!C170</f>
        <v>1.0961306700037776</v>
      </c>
      <c r="D170">
        <f t="shared" si="4"/>
        <v>1.3300957751090471E-3</v>
      </c>
      <c r="E170">
        <f t="shared" si="5"/>
        <v>5.2694301309745622E-3</v>
      </c>
    </row>
    <row r="171" spans="1:5" x14ac:dyDescent="0.35">
      <c r="A171" s="1">
        <f>Calculs!A171</f>
        <v>44433</v>
      </c>
      <c r="B171">
        <f>Calculs!B171</f>
        <v>1788.199951171875</v>
      </c>
      <c r="C171">
        <f>Calculs!C171</f>
        <v>1.0951702939486174</v>
      </c>
      <c r="D171">
        <f t="shared" si="4"/>
        <v>-9.6834329865471396E-3</v>
      </c>
      <c r="E171">
        <f t="shared" si="5"/>
        <v>-8.7653511082942605E-4</v>
      </c>
    </row>
    <row r="172" spans="1:5" x14ac:dyDescent="0.35">
      <c r="A172" s="1">
        <f>Calculs!A172</f>
        <v>44434</v>
      </c>
      <c r="B172">
        <f>Calculs!B172</f>
        <v>1792.199951171875</v>
      </c>
      <c r="C172">
        <f>Calculs!C172</f>
        <v>1.0945229801851943</v>
      </c>
      <c r="D172">
        <f t="shared" si="4"/>
        <v>2.2343882098449877E-3</v>
      </c>
      <c r="E172">
        <f t="shared" si="5"/>
        <v>-5.9123694622066169E-4</v>
      </c>
    </row>
    <row r="173" spans="1:5" x14ac:dyDescent="0.35">
      <c r="A173" s="1">
        <f>Calculs!A173</f>
        <v>44435</v>
      </c>
      <c r="B173">
        <f>Calculs!B173</f>
        <v>1816.5999755859375</v>
      </c>
      <c r="C173">
        <f>Calculs!C173</f>
        <v>1.0893957966759213</v>
      </c>
      <c r="D173">
        <f t="shared" si="4"/>
        <v>1.3522720423364637E-2</v>
      </c>
      <c r="E173">
        <f t="shared" si="5"/>
        <v>-4.6954062426151156E-3</v>
      </c>
    </row>
    <row r="174" spans="1:5" x14ac:dyDescent="0.35">
      <c r="A174" s="1">
        <f>Calculs!A174</f>
        <v>44438</v>
      </c>
      <c r="B174">
        <f>Calculs!B174</f>
        <v>1809</v>
      </c>
      <c r="C174">
        <f>Calculs!C174</f>
        <v>1.0974539226718685</v>
      </c>
      <c r="D174">
        <f t="shared" si="4"/>
        <v>-4.1924022333912287E-3</v>
      </c>
      <c r="E174">
        <f t="shared" si="5"/>
        <v>7.3696536122816667E-3</v>
      </c>
    </row>
    <row r="175" spans="1:5" x14ac:dyDescent="0.35">
      <c r="A175" s="1">
        <f>Calculs!A175</f>
        <v>44439</v>
      </c>
      <c r="B175">
        <f>Calculs!B175</f>
        <v>1815</v>
      </c>
      <c r="C175">
        <f>Calculs!C175</f>
        <v>1.0902985216724992</v>
      </c>
      <c r="D175">
        <f t="shared" si="4"/>
        <v>3.3112613036560051E-3</v>
      </c>
      <c r="E175">
        <f t="shared" si="5"/>
        <v>-6.5413493490726702E-3</v>
      </c>
    </row>
    <row r="176" spans="1:5" x14ac:dyDescent="0.35">
      <c r="A176" s="1">
        <f>Calculs!A176</f>
        <v>44440</v>
      </c>
      <c r="B176">
        <f>Calculs!B176</f>
        <v>1813.0999755859375</v>
      </c>
      <c r="C176">
        <f>Calculs!C176</f>
        <v>1.0925379518065228</v>
      </c>
      <c r="D176">
        <f t="shared" si="4"/>
        <v>-1.0473937325582944E-3</v>
      </c>
      <c r="E176">
        <f t="shared" si="5"/>
        <v>2.0518540412151321E-3</v>
      </c>
    </row>
    <row r="177" spans="1:5" x14ac:dyDescent="0.35">
      <c r="A177" s="1">
        <f>Calculs!A177</f>
        <v>44441</v>
      </c>
      <c r="B177">
        <f>Calculs!B177</f>
        <v>1808.699951171875</v>
      </c>
      <c r="C177">
        <f>Calculs!C177</f>
        <v>1.0922790401401683</v>
      </c>
      <c r="D177">
        <f t="shared" si="4"/>
        <v>-2.4297457991779466E-3</v>
      </c>
      <c r="E177">
        <f t="shared" si="5"/>
        <v>-2.3700993586269544E-4</v>
      </c>
    </row>
    <row r="178" spans="1:5" x14ac:dyDescent="0.35">
      <c r="A178" s="1">
        <f>Calculs!A178</f>
        <v>44442</v>
      </c>
      <c r="B178">
        <f>Calculs!B178</f>
        <v>1830.9000244140625</v>
      </c>
      <c r="C178">
        <f>Calculs!C178</f>
        <v>1.0935056883463528</v>
      </c>
      <c r="D178">
        <f t="shared" si="4"/>
        <v>1.2199334385803619E-2</v>
      </c>
      <c r="E178">
        <f t="shared" si="5"/>
        <v>1.1223871399325778E-3</v>
      </c>
    </row>
    <row r="179" spans="1:5" x14ac:dyDescent="0.35">
      <c r="A179" s="1">
        <f>Calculs!A179</f>
        <v>44446</v>
      </c>
      <c r="B179">
        <f>Calculs!B179</f>
        <v>1795.9000244140625</v>
      </c>
      <c r="C179">
        <f>Calculs!C179</f>
        <v>1.0930395509481021</v>
      </c>
      <c r="D179">
        <f t="shared" si="4"/>
        <v>-1.9301359933995132E-2</v>
      </c>
      <c r="E179">
        <f t="shared" si="5"/>
        <v>-4.2636886439415949E-4</v>
      </c>
    </row>
    <row r="180" spans="1:5" x14ac:dyDescent="0.35">
      <c r="A180" s="1">
        <f>Calculs!A180</f>
        <v>44447</v>
      </c>
      <c r="B180">
        <f>Calculs!B180</f>
        <v>1790.699951171875</v>
      </c>
      <c r="C180">
        <f>Calculs!C180</f>
        <v>1.0876067391205557</v>
      </c>
      <c r="D180">
        <f t="shared" si="4"/>
        <v>-2.8997250439288581E-3</v>
      </c>
      <c r="E180">
        <f t="shared" si="5"/>
        <v>-4.9827641399197943E-3</v>
      </c>
    </row>
    <row r="181" spans="1:5" x14ac:dyDescent="0.35">
      <c r="A181" s="1">
        <f>Calculs!A181</f>
        <v>44448</v>
      </c>
      <c r="B181">
        <f>Calculs!B181</f>
        <v>1797.4000244140625</v>
      </c>
      <c r="C181">
        <f>Calculs!C181</f>
        <v>1.0847869336357792</v>
      </c>
      <c r="D181">
        <f t="shared" si="4"/>
        <v>3.7346122321662177E-3</v>
      </c>
      <c r="E181">
        <f t="shared" si="5"/>
        <v>-2.596036900485077E-3</v>
      </c>
    </row>
    <row r="182" spans="1:5" x14ac:dyDescent="0.35">
      <c r="A182" s="1">
        <f>Calculs!A182</f>
        <v>44449</v>
      </c>
      <c r="B182">
        <f>Calculs!B182</f>
        <v>1789.5999755859375</v>
      </c>
      <c r="C182">
        <f>Calculs!C182</f>
        <v>1.0910955858185023</v>
      </c>
      <c r="D182">
        <f t="shared" si="4"/>
        <v>-4.3490722735307699E-3</v>
      </c>
      <c r="E182">
        <f t="shared" si="5"/>
        <v>5.7987228664926208E-3</v>
      </c>
    </row>
    <row r="183" spans="1:5" x14ac:dyDescent="0.35">
      <c r="A183" s="1">
        <f>Calculs!A183</f>
        <v>44452</v>
      </c>
      <c r="B183">
        <f>Calculs!B183</f>
        <v>1792</v>
      </c>
      <c r="C183">
        <f>Calculs!C183</f>
        <v>1.0891585230766914</v>
      </c>
      <c r="D183">
        <f t="shared" si="4"/>
        <v>1.3401970011455836E-3</v>
      </c>
      <c r="E183">
        <f t="shared" si="5"/>
        <v>-1.7769151252469224E-3</v>
      </c>
    </row>
    <row r="184" spans="1:5" x14ac:dyDescent="0.35">
      <c r="A184" s="1">
        <f>Calculs!A184</f>
        <v>44453</v>
      </c>
      <c r="B184">
        <f>Calculs!B184</f>
        <v>1804.699951171875</v>
      </c>
      <c r="C184">
        <f>Calculs!C184</f>
        <v>1.0845987091392217</v>
      </c>
      <c r="D184">
        <f t="shared" si="4"/>
        <v>7.0620313762865556E-3</v>
      </c>
      <c r="E184">
        <f t="shared" si="5"/>
        <v>-4.1953356685247153E-3</v>
      </c>
    </row>
    <row r="185" spans="1:5" x14ac:dyDescent="0.35">
      <c r="A185" s="1">
        <f>Calculs!A185</f>
        <v>44454</v>
      </c>
      <c r="B185">
        <f>Calculs!B185</f>
        <v>1792.4000244140625</v>
      </c>
      <c r="C185">
        <f>Calculs!C185</f>
        <v>1.0868620047665318</v>
      </c>
      <c r="D185">
        <f t="shared" si="4"/>
        <v>-6.8388283782960125E-3</v>
      </c>
      <c r="E185">
        <f t="shared" si="5"/>
        <v>2.0845842914961805E-3</v>
      </c>
    </row>
    <row r="186" spans="1:5" x14ac:dyDescent="0.35">
      <c r="A186" s="1">
        <f>Calculs!A186</f>
        <v>44455</v>
      </c>
      <c r="B186">
        <f>Calculs!B186</f>
        <v>1754.5999755859375</v>
      </c>
      <c r="C186">
        <f>Calculs!C186</f>
        <v>1.0872992804422867</v>
      </c>
      <c r="D186">
        <f t="shared" si="4"/>
        <v>-2.1314620752901005E-2</v>
      </c>
      <c r="E186">
        <f t="shared" si="5"/>
        <v>4.0224769397362233E-4</v>
      </c>
    </row>
    <row r="187" spans="1:5" x14ac:dyDescent="0.35">
      <c r="A187" s="1">
        <f>Calculs!A187</f>
        <v>44456</v>
      </c>
      <c r="B187">
        <f>Calculs!B187</f>
        <v>1749.4000244140625</v>
      </c>
      <c r="C187">
        <f>Calculs!C187</f>
        <v>1.0783298847403149</v>
      </c>
      <c r="D187">
        <f t="shared" si="4"/>
        <v>-2.9680108385332772E-3</v>
      </c>
      <c r="E187">
        <f t="shared" si="5"/>
        <v>-8.2834560347226933E-3</v>
      </c>
    </row>
    <row r="188" spans="1:5" x14ac:dyDescent="0.35">
      <c r="A188" s="1">
        <f>Calculs!A188</f>
        <v>44459</v>
      </c>
      <c r="B188">
        <f>Calculs!B188</f>
        <v>1761.800048828125</v>
      </c>
      <c r="C188">
        <f>Calculs!C188</f>
        <v>1.0729153530119135</v>
      </c>
      <c r="D188">
        <f t="shared" si="4"/>
        <v>7.063155449170932E-3</v>
      </c>
      <c r="E188">
        <f t="shared" si="5"/>
        <v>-5.0338688188482786E-3</v>
      </c>
    </row>
    <row r="189" spans="1:5" x14ac:dyDescent="0.35">
      <c r="A189" s="1">
        <f>Calculs!A189</f>
        <v>44460</v>
      </c>
      <c r="B189">
        <f>Calculs!B189</f>
        <v>1776</v>
      </c>
      <c r="C189">
        <f>Calculs!C189</f>
        <v>1.0779695342758673</v>
      </c>
      <c r="D189">
        <f t="shared" si="4"/>
        <v>8.0276031615123065E-3</v>
      </c>
      <c r="E189">
        <f t="shared" si="5"/>
        <v>4.6996383640011234E-3</v>
      </c>
    </row>
    <row r="190" spans="1:5" x14ac:dyDescent="0.35">
      <c r="A190" s="1">
        <f>Calculs!A190</f>
        <v>44461</v>
      </c>
      <c r="B190">
        <f>Calculs!B190</f>
        <v>1776.699951171875</v>
      </c>
      <c r="C190">
        <f>Calculs!C190</f>
        <v>1.0828370313492033</v>
      </c>
      <c r="D190">
        <f t="shared" si="4"/>
        <v>3.9403900726307041E-4</v>
      </c>
      <c r="E190">
        <f t="shared" si="5"/>
        <v>4.5052670460260461E-3</v>
      </c>
    </row>
    <row r="191" spans="1:5" x14ac:dyDescent="0.35">
      <c r="A191" s="1">
        <f>Calculs!A191</f>
        <v>44462</v>
      </c>
      <c r="B191">
        <f>Calculs!B191</f>
        <v>1747.699951171875</v>
      </c>
      <c r="C191">
        <f>Calculs!C191</f>
        <v>1.0795638687616769</v>
      </c>
      <c r="D191">
        <f t="shared" si="4"/>
        <v>-1.6457073725568219E-2</v>
      </c>
      <c r="E191">
        <f t="shared" si="5"/>
        <v>-3.0273434377352066E-3</v>
      </c>
    </row>
    <row r="192" spans="1:5" x14ac:dyDescent="0.35">
      <c r="A192" s="1">
        <f>Calculs!A192</f>
        <v>44463</v>
      </c>
      <c r="B192">
        <f>Calculs!B192</f>
        <v>1749.699951171875</v>
      </c>
      <c r="C192">
        <f>Calculs!C192</f>
        <v>1.0816657786681261</v>
      </c>
      <c r="D192">
        <f t="shared" si="4"/>
        <v>1.1437069101939464E-3</v>
      </c>
      <c r="E192">
        <f t="shared" si="5"/>
        <v>1.945106177543596E-3</v>
      </c>
    </row>
    <row r="193" spans="1:5" x14ac:dyDescent="0.35">
      <c r="A193" s="1">
        <f>Calculs!A193</f>
        <v>44466</v>
      </c>
      <c r="B193">
        <f>Calculs!B193</f>
        <v>1750</v>
      </c>
      <c r="C193">
        <f>Calculs!C193</f>
        <v>1.0817008577609086</v>
      </c>
      <c r="D193">
        <f t="shared" si="4"/>
        <v>1.7147117355570008E-4</v>
      </c>
      <c r="E193">
        <f t="shared" si="5"/>
        <v>3.2430095014884591E-5</v>
      </c>
    </row>
    <row r="194" spans="1:5" x14ac:dyDescent="0.35">
      <c r="A194" s="1">
        <f>Calculs!A194</f>
        <v>44467</v>
      </c>
      <c r="B194">
        <f>Calculs!B194</f>
        <v>1735.800048828125</v>
      </c>
      <c r="C194">
        <f>Calculs!C194</f>
        <v>1.0803931042481241</v>
      </c>
      <c r="D194">
        <f t="shared" si="4"/>
        <v>-8.1473575773747878E-3</v>
      </c>
      <c r="E194">
        <f t="shared" si="5"/>
        <v>-1.2097103042181085E-3</v>
      </c>
    </row>
    <row r="195" spans="1:5" x14ac:dyDescent="0.35">
      <c r="A195" s="1">
        <f>Calculs!A195</f>
        <v>44468</v>
      </c>
      <c r="B195">
        <f>Calculs!B195</f>
        <v>1721.5</v>
      </c>
      <c r="C195">
        <f>Calculs!C195</f>
        <v>1.0762409070457237</v>
      </c>
      <c r="D195">
        <f t="shared" si="4"/>
        <v>-8.2724265616064933E-3</v>
      </c>
      <c r="E195">
        <f t="shared" si="5"/>
        <v>-3.850632338327482E-3</v>
      </c>
    </row>
    <row r="196" spans="1:5" x14ac:dyDescent="0.35">
      <c r="A196" s="1">
        <f>Calculs!A196</f>
        <v>44469</v>
      </c>
      <c r="B196">
        <f>Calculs!B196</f>
        <v>1755.300048828125</v>
      </c>
      <c r="C196">
        <f>Calculs!C196</f>
        <v>1.0703773112789661</v>
      </c>
      <c r="D196">
        <f t="shared" ref="D196:D259" si="6">LN(B196/B195)</f>
        <v>1.9443806501259531E-2</v>
      </c>
      <c r="E196">
        <f t="shared" ref="E196:E259" si="7">LN(C196/C195)</f>
        <v>-5.4631143071913746E-3</v>
      </c>
    </row>
    <row r="197" spans="1:5" x14ac:dyDescent="0.35">
      <c r="A197" s="1">
        <f>Calculs!A197</f>
        <v>44470</v>
      </c>
      <c r="B197">
        <f>Calculs!B197</f>
        <v>1757</v>
      </c>
      <c r="C197">
        <f>Calculs!C197</f>
        <v>1.0724090854642212</v>
      </c>
      <c r="D197">
        <f t="shared" si="6"/>
        <v>9.6799890725909107E-4</v>
      </c>
      <c r="E197">
        <f t="shared" si="7"/>
        <v>1.8963857501105978E-3</v>
      </c>
    </row>
    <row r="198" spans="1:5" x14ac:dyDescent="0.35">
      <c r="A198" s="1">
        <f>Calculs!A198</f>
        <v>44473</v>
      </c>
      <c r="B198">
        <f>Calculs!B198</f>
        <v>1766.199951171875</v>
      </c>
      <c r="C198">
        <f>Calculs!C198</f>
        <v>1.0757661922143795</v>
      </c>
      <c r="D198">
        <f t="shared" si="6"/>
        <v>5.2225092017402107E-3</v>
      </c>
      <c r="E198">
        <f t="shared" si="7"/>
        <v>3.1255452178552976E-3</v>
      </c>
    </row>
    <row r="199" spans="1:5" x14ac:dyDescent="0.35">
      <c r="A199" s="1">
        <f>Calculs!A199</f>
        <v>44474</v>
      </c>
      <c r="B199">
        <f>Calculs!B199</f>
        <v>1759.5999755859375</v>
      </c>
      <c r="C199">
        <f>Calculs!C199</f>
        <v>1.0811278124459105</v>
      </c>
      <c r="D199">
        <f t="shared" si="6"/>
        <v>-3.7438217890526193E-3</v>
      </c>
      <c r="E199">
        <f t="shared" si="7"/>
        <v>4.9716224010565224E-3</v>
      </c>
    </row>
    <row r="200" spans="1:5" x14ac:dyDescent="0.35">
      <c r="A200" s="1">
        <f>Calculs!A200</f>
        <v>44475</v>
      </c>
      <c r="B200">
        <f>Calculs!B200</f>
        <v>1760.5</v>
      </c>
      <c r="C200">
        <f>Calculs!C200</f>
        <v>1.0771219533271996</v>
      </c>
      <c r="D200">
        <f t="shared" si="6"/>
        <v>5.1136299532230712E-4</v>
      </c>
      <c r="E200">
        <f t="shared" si="7"/>
        <v>-3.7121409971133104E-3</v>
      </c>
    </row>
    <row r="201" spans="1:5" x14ac:dyDescent="0.35">
      <c r="A201" s="1">
        <f>Calculs!A201</f>
        <v>44476</v>
      </c>
      <c r="B201">
        <f>Calculs!B201</f>
        <v>1757.9000244140625</v>
      </c>
      <c r="C201">
        <f>Calculs!C201</f>
        <v>1.0779346967722063</v>
      </c>
      <c r="D201">
        <f t="shared" si="6"/>
        <v>-1.477930901064451E-3</v>
      </c>
      <c r="E201">
        <f t="shared" si="7"/>
        <v>7.542664676599203E-4</v>
      </c>
    </row>
    <row r="202" spans="1:5" x14ac:dyDescent="0.35">
      <c r="A202" s="1">
        <f>Calculs!A202</f>
        <v>44477</v>
      </c>
      <c r="B202">
        <f>Calculs!B202</f>
        <v>1756.300048828125</v>
      </c>
      <c r="C202">
        <f>Calculs!C202</f>
        <v>1.0771219533271996</v>
      </c>
      <c r="D202">
        <f t="shared" si="6"/>
        <v>-9.1057746465363759E-4</v>
      </c>
      <c r="E202">
        <f t="shared" si="7"/>
        <v>-7.5426646765991911E-4</v>
      </c>
    </row>
    <row r="203" spans="1:5" x14ac:dyDescent="0.35">
      <c r="A203" s="1">
        <f>Calculs!A203</f>
        <v>44480</v>
      </c>
      <c r="B203">
        <f>Calculs!B203</f>
        <v>1754.5999755859375</v>
      </c>
      <c r="C203">
        <f>Calculs!C203</f>
        <v>1.0777604045548395</v>
      </c>
      <c r="D203">
        <f t="shared" si="6"/>
        <v>-9.68454449423833E-4</v>
      </c>
      <c r="E203">
        <f t="shared" si="7"/>
        <v>5.925625071700664E-4</v>
      </c>
    </row>
    <row r="204" spans="1:5" x14ac:dyDescent="0.35">
      <c r="A204" s="1">
        <f>Calculs!A204</f>
        <v>44481</v>
      </c>
      <c r="B204">
        <f>Calculs!B204</f>
        <v>1758.300048828125</v>
      </c>
      <c r="C204">
        <f>Calculs!C204</f>
        <v>1.0781089760911191</v>
      </c>
      <c r="D204">
        <f t="shared" si="6"/>
        <v>2.10656414060376E-3</v>
      </c>
      <c r="E204">
        <f t="shared" si="7"/>
        <v>3.2336981307535834E-4</v>
      </c>
    </row>
    <row r="205" spans="1:5" x14ac:dyDescent="0.35">
      <c r="A205" s="1">
        <f>Calculs!A205</f>
        <v>44482</v>
      </c>
      <c r="B205">
        <f>Calculs!B205</f>
        <v>1793.699951171875</v>
      </c>
      <c r="C205">
        <f>Calculs!C205</f>
        <v>1.0747372542427778</v>
      </c>
      <c r="D205">
        <f t="shared" si="6"/>
        <v>1.9933037412385866E-2</v>
      </c>
      <c r="E205">
        <f t="shared" si="7"/>
        <v>-3.1323413234576863E-3</v>
      </c>
    </row>
    <row r="206" spans="1:5" x14ac:dyDescent="0.35">
      <c r="A206" s="1">
        <f>Calculs!A206</f>
        <v>44483</v>
      </c>
      <c r="B206">
        <f>Calculs!B206</f>
        <v>1796.699951171875</v>
      </c>
      <c r="C206">
        <f>Calculs!C206</f>
        <v>1.0824853962812069</v>
      </c>
      <c r="D206">
        <f t="shared" si="6"/>
        <v>1.6711234290114187E-3</v>
      </c>
      <c r="E206">
        <f t="shared" si="7"/>
        <v>7.1834730225964101E-3</v>
      </c>
    </row>
    <row r="207" spans="1:5" x14ac:dyDescent="0.35">
      <c r="A207" s="1">
        <f>Calculs!A207</f>
        <v>44484</v>
      </c>
      <c r="B207">
        <f>Calculs!B207</f>
        <v>1767.199951171875</v>
      </c>
      <c r="C207">
        <f>Calculs!C207</f>
        <v>1.081817897513953</v>
      </c>
      <c r="D207">
        <f t="shared" si="6"/>
        <v>-1.6555276286279279E-2</v>
      </c>
      <c r="E207">
        <f t="shared" si="7"/>
        <v>-6.1682555336066089E-4</v>
      </c>
    </row>
    <row r="208" spans="1:5" x14ac:dyDescent="0.35">
      <c r="A208" s="1">
        <f>Calculs!A208</f>
        <v>44487</v>
      </c>
      <c r="B208">
        <f>Calculs!B208</f>
        <v>1764.800048828125</v>
      </c>
      <c r="C208">
        <f>Calculs!C208</f>
        <v>1.082801878527677</v>
      </c>
      <c r="D208">
        <f t="shared" si="6"/>
        <v>-1.358948308654003E-3</v>
      </c>
      <c r="E208">
        <f t="shared" si="7"/>
        <v>9.0914911929635181E-4</v>
      </c>
    </row>
    <row r="209" spans="1:5" x14ac:dyDescent="0.35">
      <c r="A209" s="1">
        <f>Calculs!A209</f>
        <v>44488</v>
      </c>
      <c r="B209">
        <f>Calculs!B209</f>
        <v>1769.699951171875</v>
      </c>
      <c r="C209">
        <f>Calculs!C209</f>
        <v>1.0830974289662632</v>
      </c>
      <c r="D209">
        <f t="shared" si="6"/>
        <v>2.7726159189181846E-3</v>
      </c>
      <c r="E209">
        <f t="shared" si="7"/>
        <v>2.7291244740511674E-4</v>
      </c>
    </row>
    <row r="210" spans="1:5" x14ac:dyDescent="0.35">
      <c r="A210" s="1">
        <f>Calculs!A210</f>
        <v>44489</v>
      </c>
      <c r="B210">
        <f>Calculs!B210</f>
        <v>1784.0999755859375</v>
      </c>
      <c r="C210">
        <f>Calculs!C210</f>
        <v>1.0834236443817615</v>
      </c>
      <c r="D210">
        <f t="shared" si="6"/>
        <v>8.1040596104608609E-3</v>
      </c>
      <c r="E210">
        <f t="shared" si="7"/>
        <v>3.0114216009859834E-4</v>
      </c>
    </row>
    <row r="211" spans="1:5" x14ac:dyDescent="0.35">
      <c r="A211" s="1">
        <f>Calculs!A211</f>
        <v>44490</v>
      </c>
      <c r="B211">
        <f>Calculs!B211</f>
        <v>1781.199951171875</v>
      </c>
      <c r="C211">
        <f>Calculs!C211</f>
        <v>1.0883761470877604</v>
      </c>
      <c r="D211">
        <f t="shared" si="6"/>
        <v>-1.6268056619152453E-3</v>
      </c>
      <c r="E211">
        <f t="shared" si="7"/>
        <v>4.5607438677777281E-3</v>
      </c>
    </row>
    <row r="212" spans="1:5" x14ac:dyDescent="0.35">
      <c r="A212" s="1">
        <f>Calculs!A212</f>
        <v>44491</v>
      </c>
      <c r="B212">
        <f>Calculs!B212</f>
        <v>1795.5</v>
      </c>
      <c r="C212">
        <f>Calculs!C212</f>
        <v>1.0891940898494028</v>
      </c>
      <c r="D212">
        <f t="shared" si="6"/>
        <v>7.9962676316408798E-3</v>
      </c>
      <c r="E212">
        <f t="shared" si="7"/>
        <v>7.5124355231923133E-4</v>
      </c>
    </row>
    <row r="213" spans="1:5" x14ac:dyDescent="0.35">
      <c r="A213" s="1">
        <f>Calculs!A213</f>
        <v>44494</v>
      </c>
      <c r="B213">
        <f>Calculs!B213</f>
        <v>1806</v>
      </c>
      <c r="C213">
        <f>Calculs!C213</f>
        <v>1.0910443560365444</v>
      </c>
      <c r="D213">
        <f t="shared" si="6"/>
        <v>5.8309203107931437E-3</v>
      </c>
      <c r="E213">
        <f t="shared" si="7"/>
        <v>1.697306672880487E-3</v>
      </c>
    </row>
    <row r="214" spans="1:5" x14ac:dyDescent="0.35">
      <c r="A214" s="1">
        <f>Calculs!A214</f>
        <v>44495</v>
      </c>
      <c r="B214">
        <f>Calculs!B214</f>
        <v>1792.699951171875</v>
      </c>
      <c r="C214">
        <f>Calculs!C214</f>
        <v>1.0870865154087039</v>
      </c>
      <c r="D214">
        <f t="shared" si="6"/>
        <v>-7.3916189533362806E-3</v>
      </c>
      <c r="E214">
        <f t="shared" si="7"/>
        <v>-3.6341663723826506E-3</v>
      </c>
    </row>
    <row r="215" spans="1:5" x14ac:dyDescent="0.35">
      <c r="A215" s="1">
        <f>Calculs!A215</f>
        <v>44496</v>
      </c>
      <c r="B215">
        <f>Calculs!B215</f>
        <v>1797.9000244140625</v>
      </c>
      <c r="C215">
        <f>Calculs!C215</f>
        <v>1.0874293053660773</v>
      </c>
      <c r="D215">
        <f t="shared" si="6"/>
        <v>2.8964946878651475E-3</v>
      </c>
      <c r="E215">
        <f t="shared" si="7"/>
        <v>3.1527934350986049E-4</v>
      </c>
    </row>
    <row r="216" spans="1:5" x14ac:dyDescent="0.35">
      <c r="A216" s="1">
        <f>Calculs!A216</f>
        <v>44497</v>
      </c>
      <c r="B216">
        <f>Calculs!B216</f>
        <v>1801.5999755859375</v>
      </c>
      <c r="C216">
        <f>Calculs!C216</f>
        <v>1.0893246391062057</v>
      </c>
      <c r="D216">
        <f t="shared" si="6"/>
        <v>2.0558146825891866E-3</v>
      </c>
      <c r="E216">
        <f t="shared" si="7"/>
        <v>1.74143175338805E-3</v>
      </c>
    </row>
    <row r="217" spans="1:5" x14ac:dyDescent="0.35">
      <c r="A217" s="1">
        <f>Calculs!A217</f>
        <v>44498</v>
      </c>
      <c r="B217">
        <f>Calculs!B217</f>
        <v>1783</v>
      </c>
      <c r="C217">
        <f>Calculs!C217</f>
        <v>1.0970445958547457</v>
      </c>
      <c r="D217">
        <f t="shared" si="6"/>
        <v>-1.03778065309083E-2</v>
      </c>
      <c r="E217">
        <f t="shared" si="7"/>
        <v>7.0619259623988179E-3</v>
      </c>
    </row>
    <row r="218" spans="1:5" x14ac:dyDescent="0.35">
      <c r="A218" s="1">
        <f>Calculs!A218</f>
        <v>44501</v>
      </c>
      <c r="B218">
        <f>Calculs!B218</f>
        <v>1795.0999755859375</v>
      </c>
      <c r="C218">
        <f>Calculs!C218</f>
        <v>1.0915362043850994</v>
      </c>
      <c r="D218">
        <f t="shared" si="6"/>
        <v>6.763378213492534E-3</v>
      </c>
      <c r="E218">
        <f t="shared" si="7"/>
        <v>-5.0337671795156573E-3</v>
      </c>
    </row>
    <row r="219" spans="1:5" x14ac:dyDescent="0.35">
      <c r="A219" s="1">
        <f>Calculs!A219</f>
        <v>44502</v>
      </c>
      <c r="B219">
        <f>Calculs!B219</f>
        <v>1788.699951171875</v>
      </c>
      <c r="C219">
        <f>Calculs!C219</f>
        <v>1.0996986535436033</v>
      </c>
      <c r="D219">
        <f t="shared" si="6"/>
        <v>-3.5716453755408732E-3</v>
      </c>
      <c r="E219">
        <f t="shared" si="7"/>
        <v>7.4501251047828215E-3</v>
      </c>
    </row>
    <row r="220" spans="1:5" x14ac:dyDescent="0.35">
      <c r="A220" s="1">
        <f>Calculs!A220</f>
        <v>44503</v>
      </c>
      <c r="B220">
        <f>Calculs!B220</f>
        <v>1763.5999755859375</v>
      </c>
      <c r="C220">
        <f>Calculs!C220</f>
        <v>1.0933741350777044</v>
      </c>
      <c r="D220">
        <f t="shared" si="6"/>
        <v>-1.4131911060620329E-2</v>
      </c>
      <c r="E220">
        <f t="shared" si="7"/>
        <v>-5.7677392485585809E-3</v>
      </c>
    </row>
    <row r="221" spans="1:5" x14ac:dyDescent="0.35">
      <c r="A221" s="1">
        <f>Calculs!A221</f>
        <v>44504</v>
      </c>
      <c r="B221">
        <f>Calculs!B221</f>
        <v>1793</v>
      </c>
      <c r="C221">
        <f>Calculs!C221</f>
        <v>1.0973214177678492</v>
      </c>
      <c r="D221">
        <f t="shared" si="6"/>
        <v>1.6533033964660989E-2</v>
      </c>
      <c r="E221">
        <f t="shared" si="7"/>
        <v>3.6036837312339864E-3</v>
      </c>
    </row>
    <row r="222" spans="1:5" x14ac:dyDescent="0.35">
      <c r="A222" s="1">
        <f>Calculs!A222</f>
        <v>44505</v>
      </c>
      <c r="B222">
        <f>Calculs!B222</f>
        <v>1816.4000244140625</v>
      </c>
      <c r="C222">
        <f>Calculs!C222</f>
        <v>1.0956743136482612</v>
      </c>
      <c r="D222">
        <f t="shared" si="6"/>
        <v>1.2966339059569584E-2</v>
      </c>
      <c r="E222">
        <f t="shared" si="7"/>
        <v>-1.5021501462224932E-3</v>
      </c>
    </row>
    <row r="223" spans="1:5" x14ac:dyDescent="0.35">
      <c r="A223" s="1">
        <f>Calculs!A223</f>
        <v>44508</v>
      </c>
      <c r="B223">
        <f>Calculs!B223</f>
        <v>1827.4000244140625</v>
      </c>
      <c r="C223">
        <f>Calculs!C223</f>
        <v>1.0965272747925894</v>
      </c>
      <c r="D223">
        <f t="shared" si="6"/>
        <v>6.0376712598167494E-3</v>
      </c>
      <c r="E223">
        <f t="shared" si="7"/>
        <v>7.7817769302707194E-4</v>
      </c>
    </row>
    <row r="224" spans="1:5" x14ac:dyDescent="0.35">
      <c r="A224" s="1">
        <f>Calculs!A224</f>
        <v>44509</v>
      </c>
      <c r="B224">
        <f>Calculs!B224</f>
        <v>1830.199951171875</v>
      </c>
      <c r="C224">
        <f>Calculs!C224</f>
        <v>1.0949544376378058</v>
      </c>
      <c r="D224">
        <f t="shared" si="6"/>
        <v>1.5310188776383894E-3</v>
      </c>
      <c r="E224">
        <f t="shared" si="7"/>
        <v>-1.4354100387136738E-3</v>
      </c>
    </row>
    <row r="225" spans="1:5" x14ac:dyDescent="0.35">
      <c r="A225" s="1">
        <f>Calculs!A225</f>
        <v>44510</v>
      </c>
      <c r="B225">
        <f>Calculs!B225</f>
        <v>1847.5999755859375</v>
      </c>
      <c r="C225">
        <f>Calculs!C225</f>
        <v>1.0980564121591379</v>
      </c>
      <c r="D225">
        <f t="shared" si="6"/>
        <v>9.4622625403595426E-3</v>
      </c>
      <c r="E225">
        <f t="shared" si="7"/>
        <v>2.8289660221152602E-3</v>
      </c>
    </row>
    <row r="226" spans="1:5" x14ac:dyDescent="0.35">
      <c r="A226" s="1">
        <f>Calculs!A226</f>
        <v>44511</v>
      </c>
      <c r="B226">
        <f>Calculs!B226</f>
        <v>1863.199951171875</v>
      </c>
      <c r="C226">
        <f>Calculs!C226</f>
        <v>1.0895382812207763</v>
      </c>
      <c r="D226">
        <f t="shared" si="6"/>
        <v>8.4079270210200598E-3</v>
      </c>
      <c r="E226">
        <f t="shared" si="7"/>
        <v>-7.7877076727300874E-3</v>
      </c>
    </row>
    <row r="227" spans="1:5" x14ac:dyDescent="0.35">
      <c r="A227" s="1">
        <f>Calculs!A227</f>
        <v>44512</v>
      </c>
      <c r="B227">
        <f>Calculs!B227</f>
        <v>1867.9000244140625</v>
      </c>
      <c r="C227">
        <f>Calculs!C227</f>
        <v>1.0855288259933995</v>
      </c>
      <c r="D227">
        <f t="shared" si="6"/>
        <v>2.519404872046127E-3</v>
      </c>
      <c r="E227">
        <f t="shared" si="7"/>
        <v>-3.6867458070468889E-3</v>
      </c>
    </row>
    <row r="228" spans="1:5" x14ac:dyDescent="0.35">
      <c r="A228" s="1">
        <f>Calculs!A228</f>
        <v>44515</v>
      </c>
      <c r="B228">
        <f>Calculs!B228</f>
        <v>1866.0999755859375</v>
      </c>
      <c r="C228">
        <f>Calculs!C228</f>
        <v>1.0856584277963288</v>
      </c>
      <c r="D228">
        <f t="shared" si="6"/>
        <v>-9.6413977909137923E-4</v>
      </c>
      <c r="E228">
        <f t="shared" si="7"/>
        <v>1.1938334923167563E-4</v>
      </c>
    </row>
    <row r="229" spans="1:5" x14ac:dyDescent="0.35">
      <c r="A229" s="1">
        <f>Calculs!A229</f>
        <v>44516</v>
      </c>
      <c r="B229">
        <f>Calculs!B229</f>
        <v>1853.5999755859375</v>
      </c>
      <c r="C229">
        <f>Calculs!C229</f>
        <v>1.0806721659548915</v>
      </c>
      <c r="D229">
        <f t="shared" si="6"/>
        <v>-6.7209975094860578E-3</v>
      </c>
      <c r="E229">
        <f t="shared" si="7"/>
        <v>-4.6034254064069345E-3</v>
      </c>
    </row>
    <row r="230" spans="1:5" x14ac:dyDescent="0.35">
      <c r="A230" s="1">
        <f>Calculs!A230</f>
        <v>44517</v>
      </c>
      <c r="B230">
        <f>Calculs!B230</f>
        <v>1869.699951171875</v>
      </c>
      <c r="C230">
        <f>Calculs!C230</f>
        <v>1.0749105010939253</v>
      </c>
      <c r="D230">
        <f t="shared" si="6"/>
        <v>8.6482831087354786E-3</v>
      </c>
      <c r="E230">
        <f t="shared" si="7"/>
        <v>-5.345820107333873E-3</v>
      </c>
    </row>
    <row r="231" spans="1:5" x14ac:dyDescent="0.35">
      <c r="A231" s="1">
        <f>Calculs!A231</f>
        <v>44518</v>
      </c>
      <c r="B231">
        <f>Calculs!B231</f>
        <v>1861</v>
      </c>
      <c r="C231">
        <f>Calculs!C231</f>
        <v>1.0769711521549288</v>
      </c>
      <c r="D231">
        <f t="shared" si="6"/>
        <v>-4.6639864134909483E-3</v>
      </c>
      <c r="E231">
        <f t="shared" si="7"/>
        <v>1.9152091266442075E-3</v>
      </c>
    </row>
    <row r="232" spans="1:5" x14ac:dyDescent="0.35">
      <c r="A232" s="1">
        <f>Calculs!A232</f>
        <v>44519</v>
      </c>
      <c r="B232">
        <f>Calculs!B232</f>
        <v>1851.199951171875</v>
      </c>
      <c r="C232">
        <f>Calculs!C232</f>
        <v>1.0803803028799488</v>
      </c>
      <c r="D232">
        <f t="shared" si="6"/>
        <v>-5.2799265793109663E-3</v>
      </c>
      <c r="E232">
        <f t="shared" si="7"/>
        <v>3.1604990043019158E-3</v>
      </c>
    </row>
    <row r="233" spans="1:5" x14ac:dyDescent="0.35">
      <c r="A233" s="1">
        <f>Calculs!A233</f>
        <v>44522</v>
      </c>
      <c r="B233">
        <f>Calculs!B233</f>
        <v>1806</v>
      </c>
      <c r="C233">
        <f>Calculs!C233</f>
        <v>1.0760787571498474</v>
      </c>
      <c r="D233">
        <f t="shared" si="6"/>
        <v>-2.471959608600904E-2</v>
      </c>
      <c r="E233">
        <f t="shared" si="7"/>
        <v>-3.9894580101542555E-3</v>
      </c>
    </row>
    <row r="234" spans="1:5" x14ac:dyDescent="0.35">
      <c r="A234" s="1">
        <f>Calculs!A234</f>
        <v>44523</v>
      </c>
      <c r="B234">
        <f>Calculs!B234</f>
        <v>1783.5</v>
      </c>
      <c r="C234">
        <f>Calculs!C234</f>
        <v>1.0726161433907635</v>
      </c>
      <c r="D234">
        <f t="shared" si="6"/>
        <v>-1.2536729177984571E-2</v>
      </c>
      <c r="E234">
        <f t="shared" si="7"/>
        <v>-3.2229952754990339E-3</v>
      </c>
    </row>
    <row r="235" spans="1:5" x14ac:dyDescent="0.35">
      <c r="A235" s="1">
        <f>Calculs!A235</f>
        <v>44524</v>
      </c>
      <c r="B235">
        <f>Calculs!B235</f>
        <v>1784.0999755859375</v>
      </c>
      <c r="C235">
        <f>Calculs!C235</f>
        <v>1.0713634998811599</v>
      </c>
      <c r="D235">
        <f t="shared" si="6"/>
        <v>3.3634689746586568E-4</v>
      </c>
      <c r="E235">
        <f t="shared" si="7"/>
        <v>-1.1685219643470454E-3</v>
      </c>
    </row>
    <row r="236" spans="1:5" x14ac:dyDescent="0.35">
      <c r="A236" s="1">
        <f>Calculs!A236</f>
        <v>44526</v>
      </c>
      <c r="B236">
        <f>Calculs!B236</f>
        <v>1785.300048828125</v>
      </c>
      <c r="C236">
        <f>Calculs!C236</f>
        <v>1.0691985001970825</v>
      </c>
      <c r="D236">
        <f t="shared" si="6"/>
        <v>6.724229725988722E-4</v>
      </c>
      <c r="E236">
        <f t="shared" si="7"/>
        <v>-2.0228336504498358E-3</v>
      </c>
    </row>
    <row r="237" spans="1:5" x14ac:dyDescent="0.35">
      <c r="A237" s="1">
        <f>Calculs!A237</f>
        <v>44529</v>
      </c>
      <c r="B237">
        <f>Calculs!B237</f>
        <v>1782.300048828125</v>
      </c>
      <c r="C237">
        <f>Calculs!C237</f>
        <v>1.0818764268887422</v>
      </c>
      <c r="D237">
        <f t="shared" si="6"/>
        <v>-1.6818032430744501E-3</v>
      </c>
      <c r="E237">
        <f t="shared" si="7"/>
        <v>1.178766330308308E-2</v>
      </c>
    </row>
    <row r="238" spans="1:5" x14ac:dyDescent="0.35">
      <c r="A238" s="1">
        <f>Calculs!A238</f>
        <v>44530</v>
      </c>
      <c r="B238">
        <f>Calculs!B238</f>
        <v>1773.5999755859375</v>
      </c>
      <c r="C238">
        <f>Calculs!C238</f>
        <v>1.0835762580951509</v>
      </c>
      <c r="D238">
        <f t="shared" si="6"/>
        <v>-4.8933268890934195E-3</v>
      </c>
      <c r="E238">
        <f t="shared" si="7"/>
        <v>1.5699549265938203E-3</v>
      </c>
    </row>
    <row r="239" spans="1:5" x14ac:dyDescent="0.35">
      <c r="A239" s="1">
        <f>Calculs!A239</f>
        <v>44531</v>
      </c>
      <c r="B239">
        <f>Calculs!B239</f>
        <v>1781.5999755859375</v>
      </c>
      <c r="C239">
        <f>Calculs!C239</f>
        <v>1.0875475881024073</v>
      </c>
      <c r="D239">
        <f t="shared" si="6"/>
        <v>4.5004577028668804E-3</v>
      </c>
      <c r="E239">
        <f t="shared" si="7"/>
        <v>3.6583214203472882E-3</v>
      </c>
    </row>
    <row r="240" spans="1:5" x14ac:dyDescent="0.35">
      <c r="A240" s="1">
        <f>Calculs!A240</f>
        <v>44532</v>
      </c>
      <c r="B240">
        <f>Calculs!B240</f>
        <v>1760.699951171875</v>
      </c>
      <c r="C240">
        <f>Calculs!C240</f>
        <v>1.086248102554175</v>
      </c>
      <c r="D240">
        <f t="shared" si="6"/>
        <v>-1.1800393739534874E-2</v>
      </c>
      <c r="E240">
        <f t="shared" si="7"/>
        <v>-1.1955913875551971E-3</v>
      </c>
    </row>
    <row r="241" spans="1:5" x14ac:dyDescent="0.35">
      <c r="A241" s="1">
        <f>Calculs!A241</f>
        <v>44533</v>
      </c>
      <c r="B241">
        <f>Calculs!B241</f>
        <v>1782</v>
      </c>
      <c r="C241">
        <f>Calculs!C241</f>
        <v>1.0871928875158983</v>
      </c>
      <c r="D241">
        <f t="shared" si="6"/>
        <v>1.2024899530579426E-2</v>
      </c>
      <c r="E241">
        <f t="shared" si="7"/>
        <v>8.6939100306721257E-4</v>
      </c>
    </row>
    <row r="242" spans="1:5" x14ac:dyDescent="0.35">
      <c r="A242" s="1">
        <f>Calculs!A242</f>
        <v>44536</v>
      </c>
      <c r="B242">
        <f>Calculs!B242</f>
        <v>1777.5</v>
      </c>
      <c r="C242">
        <f>Calculs!C242</f>
        <v>1.088743489898087</v>
      </c>
      <c r="D242">
        <f t="shared" si="6"/>
        <v>-2.5284463533586377E-3</v>
      </c>
      <c r="E242">
        <f t="shared" si="7"/>
        <v>1.425227925557827E-3</v>
      </c>
    </row>
    <row r="243" spans="1:5" x14ac:dyDescent="0.35">
      <c r="A243" s="1">
        <f>Calculs!A243</f>
        <v>44537</v>
      </c>
      <c r="B243">
        <f>Calculs!B243</f>
        <v>1782.5999755859375</v>
      </c>
      <c r="C243">
        <f>Calculs!C243</f>
        <v>1.080497057024612</v>
      </c>
      <c r="D243">
        <f t="shared" si="6"/>
        <v>2.8650763234604835E-3</v>
      </c>
      <c r="E243">
        <f t="shared" si="7"/>
        <v>-7.6030964941314859E-3</v>
      </c>
    </row>
    <row r="244" spans="1:5" x14ac:dyDescent="0.35">
      <c r="A244" s="1">
        <f>Calculs!A244</f>
        <v>44538</v>
      </c>
      <c r="B244">
        <f>Calculs!B244</f>
        <v>1783.4000244140625</v>
      </c>
      <c r="C244">
        <f>Calculs!C244</f>
        <v>1.0817828108297851</v>
      </c>
      <c r="D244">
        <f t="shared" si="6"/>
        <v>4.4870938953922769E-4</v>
      </c>
      <c r="E244">
        <f t="shared" si="7"/>
        <v>1.1892576681014216E-3</v>
      </c>
    </row>
    <row r="245" spans="1:5" x14ac:dyDescent="0.35">
      <c r="A245" s="1">
        <f>Calculs!A245</f>
        <v>44539</v>
      </c>
      <c r="B245">
        <f>Calculs!B245</f>
        <v>1774.5999755859375</v>
      </c>
      <c r="C245">
        <f>Calculs!C245</f>
        <v>1.086956502021148</v>
      </c>
      <c r="D245">
        <f t="shared" si="6"/>
        <v>-4.9466367466601191E-3</v>
      </c>
      <c r="E245">
        <f t="shared" si="7"/>
        <v>4.7711598855427525E-3</v>
      </c>
    </row>
    <row r="246" spans="1:5" x14ac:dyDescent="0.35">
      <c r="A246" s="1">
        <f>Calculs!A246</f>
        <v>44540</v>
      </c>
      <c r="B246">
        <f>Calculs!B246</f>
        <v>1782.9000244140625</v>
      </c>
      <c r="C246">
        <f>Calculs!C246</f>
        <v>1.0824971300678048</v>
      </c>
      <c r="D246">
        <f t="shared" si="6"/>
        <v>4.6662340904448044E-3</v>
      </c>
      <c r="E246">
        <f t="shared" si="7"/>
        <v>-4.1110611150843327E-3</v>
      </c>
    </row>
    <row r="247" spans="1:5" x14ac:dyDescent="0.35">
      <c r="A247" s="1">
        <f>Calculs!A247</f>
        <v>44543</v>
      </c>
      <c r="B247">
        <f>Calculs!B247</f>
        <v>1786.300048828125</v>
      </c>
      <c r="C247">
        <f>Calculs!C247</f>
        <v>1.0856938365973188</v>
      </c>
      <c r="D247">
        <f t="shared" si="6"/>
        <v>1.905203055442121E-3</v>
      </c>
      <c r="E247">
        <f t="shared" si="7"/>
        <v>2.9487336631779846E-3</v>
      </c>
    </row>
    <row r="248" spans="1:5" x14ac:dyDescent="0.35">
      <c r="A248" s="1">
        <f>Calculs!A248</f>
        <v>44544</v>
      </c>
      <c r="B248">
        <f>Calculs!B248</f>
        <v>1770.4000244140625</v>
      </c>
      <c r="C248">
        <f>Calculs!C248</f>
        <v>1.0841519026081345</v>
      </c>
      <c r="D248">
        <f t="shared" si="6"/>
        <v>-8.9409452626436417E-3</v>
      </c>
      <c r="E248">
        <f t="shared" si="7"/>
        <v>-1.4212385893361903E-3</v>
      </c>
    </row>
    <row r="249" spans="1:5" x14ac:dyDescent="0.35">
      <c r="A249" s="1">
        <f>Calculs!A249</f>
        <v>44545</v>
      </c>
      <c r="B249">
        <f>Calculs!B249</f>
        <v>1762.5999755859375</v>
      </c>
      <c r="C249">
        <f>Calculs!C249</f>
        <v>1.0822510532088843</v>
      </c>
      <c r="D249">
        <f t="shared" si="6"/>
        <v>-4.41554571258348E-3</v>
      </c>
      <c r="E249">
        <f t="shared" si="7"/>
        <v>-1.7548442518030868E-3</v>
      </c>
    </row>
    <row r="250" spans="1:5" x14ac:dyDescent="0.35">
      <c r="A250" s="1">
        <f>Calculs!A250</f>
        <v>44546</v>
      </c>
      <c r="B250">
        <f>Calculs!B250</f>
        <v>1796.5999755859375</v>
      </c>
      <c r="C250">
        <f>Calculs!C250</f>
        <v>1.0817359391290386</v>
      </c>
      <c r="D250">
        <f t="shared" si="6"/>
        <v>1.9105998391674383E-2</v>
      </c>
      <c r="E250">
        <f t="shared" si="7"/>
        <v>-4.7607873004669828E-4</v>
      </c>
    </row>
    <row r="251" spans="1:5" x14ac:dyDescent="0.35">
      <c r="A251" s="1">
        <f>Calculs!A251</f>
        <v>44547</v>
      </c>
      <c r="B251">
        <f>Calculs!B251</f>
        <v>1803.800048828125</v>
      </c>
      <c r="C251">
        <f>Calculs!C251</f>
        <v>1.088328772902889</v>
      </c>
      <c r="D251">
        <f t="shared" si="6"/>
        <v>3.9996015951266157E-3</v>
      </c>
      <c r="E251">
        <f t="shared" si="7"/>
        <v>6.0761819877802646E-3</v>
      </c>
    </row>
    <row r="252" spans="1:5" x14ac:dyDescent="0.35">
      <c r="A252" s="1">
        <f>Calculs!A252</f>
        <v>44550</v>
      </c>
      <c r="B252">
        <f>Calculs!B252</f>
        <v>1793.699951171875</v>
      </c>
      <c r="C252">
        <f>Calculs!C252</f>
        <v>1.0830833048637865</v>
      </c>
      <c r="D252">
        <f t="shared" si="6"/>
        <v>-5.6150794682417494E-3</v>
      </c>
      <c r="E252">
        <f t="shared" si="7"/>
        <v>-4.8313982373920988E-3</v>
      </c>
    </row>
    <row r="253" spans="1:5" x14ac:dyDescent="0.35">
      <c r="A253" s="1">
        <f>Calculs!A253</f>
        <v>44551</v>
      </c>
      <c r="B253">
        <f>Calculs!B253</f>
        <v>1787.9000244140625</v>
      </c>
      <c r="C253">
        <f>Calculs!C253</f>
        <v>1.0849281448866444</v>
      </c>
      <c r="D253">
        <f t="shared" si="6"/>
        <v>-3.2387379200195265E-3</v>
      </c>
      <c r="E253">
        <f t="shared" si="7"/>
        <v>1.7018733626605206E-3</v>
      </c>
    </row>
    <row r="254" spans="1:5" x14ac:dyDescent="0.35">
      <c r="A254" s="1">
        <f>Calculs!A254</f>
        <v>44552</v>
      </c>
      <c r="B254">
        <f>Calculs!B254</f>
        <v>1801.5999755859375</v>
      </c>
      <c r="C254">
        <f>Calculs!C254</f>
        <v>1.083400136874612</v>
      </c>
      <c r="D254">
        <f t="shared" si="6"/>
        <v>7.6333849811133433E-3</v>
      </c>
      <c r="E254">
        <f t="shared" si="7"/>
        <v>-1.4093883087890507E-3</v>
      </c>
    </row>
    <row r="255" spans="1:5" x14ac:dyDescent="0.35">
      <c r="A255" s="1">
        <f>Calculs!A255</f>
        <v>44553</v>
      </c>
      <c r="B255">
        <f>Calculs!B255</f>
        <v>1811.199951171875</v>
      </c>
      <c r="C255">
        <f>Calculs!C255</f>
        <v>1.0876185841977544</v>
      </c>
      <c r="D255">
        <f t="shared" si="6"/>
        <v>5.3144366558234811E-3</v>
      </c>
      <c r="E255">
        <f t="shared" si="7"/>
        <v>3.8861503967421258E-3</v>
      </c>
    </row>
    <row r="256" spans="1:5" x14ac:dyDescent="0.35">
      <c r="A256" s="1">
        <f>Calculs!A256</f>
        <v>44557</v>
      </c>
      <c r="B256">
        <f>Calculs!B256</f>
        <v>1808.0999755859375</v>
      </c>
      <c r="C256">
        <f>Calculs!C256</f>
        <v>1.0883986706877065</v>
      </c>
      <c r="D256">
        <f t="shared" si="6"/>
        <v>-1.713025395370446E-3</v>
      </c>
      <c r="E256">
        <f t="shared" si="7"/>
        <v>7.1698560442826672E-4</v>
      </c>
    </row>
    <row r="257" spans="1:5" x14ac:dyDescent="0.35">
      <c r="A257" s="1">
        <f>Calculs!A257</f>
        <v>44558</v>
      </c>
      <c r="B257">
        <f>Calculs!B257</f>
        <v>1810.199951171875</v>
      </c>
      <c r="C257">
        <f>Calculs!C257</f>
        <v>1.0903223294969238</v>
      </c>
      <c r="D257">
        <f t="shared" si="6"/>
        <v>1.1607527646842581E-3</v>
      </c>
      <c r="E257">
        <f t="shared" si="7"/>
        <v>1.7658610798973178E-3</v>
      </c>
    </row>
    <row r="258" spans="1:5" x14ac:dyDescent="0.35">
      <c r="A258" s="1">
        <f>Calculs!A258</f>
        <v>44559</v>
      </c>
      <c r="B258">
        <f>Calculs!B258</f>
        <v>1805.0999755859375</v>
      </c>
      <c r="C258">
        <f>Calculs!C258</f>
        <v>1.0906315004671707</v>
      </c>
      <c r="D258">
        <f t="shared" si="6"/>
        <v>-2.8213310498173137E-3</v>
      </c>
      <c r="E258">
        <f t="shared" si="7"/>
        <v>2.835190438882261E-4</v>
      </c>
    </row>
    <row r="259" spans="1:5" x14ac:dyDescent="0.35">
      <c r="A259" s="1">
        <f>Calculs!A259</f>
        <v>44560</v>
      </c>
      <c r="B259">
        <f>Calculs!B259</f>
        <v>1812.699951171875</v>
      </c>
      <c r="C259">
        <f>Calculs!C259</f>
        <v>1.0945708951754882</v>
      </c>
      <c r="D259">
        <f t="shared" si="6"/>
        <v>4.2014411628216366E-3</v>
      </c>
      <c r="E259">
        <f t="shared" si="7"/>
        <v>3.6055232080862282E-3</v>
      </c>
    </row>
    <row r="260" spans="1:5" x14ac:dyDescent="0.35">
      <c r="A260" s="1">
        <f>Calculs!A260</f>
        <v>44561</v>
      </c>
      <c r="B260">
        <f>Calculs!B260</f>
        <v>1827.5</v>
      </c>
      <c r="C260">
        <f>Calculs!C260</f>
        <v>1.0944511512627222</v>
      </c>
      <c r="D260">
        <f t="shared" ref="D260:D323" si="8">LN(B260/B259)</f>
        <v>8.1314930917433803E-3</v>
      </c>
      <c r="E260">
        <f t="shared" ref="E260:E323" si="9">LN(C260/C259)</f>
        <v>-1.094040264056392E-4</v>
      </c>
    </row>
    <row r="261" spans="1:5" x14ac:dyDescent="0.35">
      <c r="A261" s="1">
        <f>Calculs!A261</f>
        <v>44564</v>
      </c>
      <c r="B261">
        <f>Calculs!B261</f>
        <v>1799.4000244140625</v>
      </c>
      <c r="C261">
        <f>Calculs!C261</f>
        <v>1.0965212548010177</v>
      </c>
      <c r="D261">
        <f t="shared" si="8"/>
        <v>-1.5495623073024625E-2</v>
      </c>
      <c r="E261">
        <f t="shared" si="9"/>
        <v>1.8896670250772188E-3</v>
      </c>
    </row>
    <row r="262" spans="1:5" x14ac:dyDescent="0.35">
      <c r="A262" s="1">
        <f>Calculs!A262</f>
        <v>44565</v>
      </c>
      <c r="B262">
        <f>Calculs!B262</f>
        <v>1814</v>
      </c>
      <c r="C262">
        <f>Calculs!C262</f>
        <v>1.0889331558644595</v>
      </c>
      <c r="D262">
        <f t="shared" si="8"/>
        <v>8.0810621241728595E-3</v>
      </c>
      <c r="E262">
        <f t="shared" si="9"/>
        <v>-6.9442120524947394E-3</v>
      </c>
    </row>
    <row r="263" spans="1:5" x14ac:dyDescent="0.35">
      <c r="A263" s="1">
        <f>Calculs!A263</f>
        <v>44566</v>
      </c>
      <c r="B263">
        <f>Calculs!B263</f>
        <v>1824.5999755859375</v>
      </c>
      <c r="C263">
        <f>Calculs!C263</f>
        <v>1.0914528379327575</v>
      </c>
      <c r="D263">
        <f t="shared" si="8"/>
        <v>5.8264198557907406E-3</v>
      </c>
      <c r="E263">
        <f t="shared" si="9"/>
        <v>2.3112267250805997E-3</v>
      </c>
    </row>
    <row r="264" spans="1:5" x14ac:dyDescent="0.35">
      <c r="A264" s="1">
        <f>Calculs!A264</f>
        <v>44567</v>
      </c>
      <c r="B264">
        <f>Calculs!B264</f>
        <v>1788.699951171875</v>
      </c>
      <c r="C264">
        <f>Calculs!C264</f>
        <v>1.0900489563875579</v>
      </c>
      <c r="D264">
        <f t="shared" si="8"/>
        <v>-1.9871699829780518E-2</v>
      </c>
      <c r="E264">
        <f t="shared" si="9"/>
        <v>-1.287078234505215E-3</v>
      </c>
    </row>
    <row r="265" spans="1:5" x14ac:dyDescent="0.35">
      <c r="A265" s="1">
        <f>Calculs!A265</f>
        <v>44568</v>
      </c>
      <c r="B265">
        <f>Calculs!B265</f>
        <v>1797</v>
      </c>
      <c r="C265">
        <f>Calculs!C265</f>
        <v>1.0853049582279088</v>
      </c>
      <c r="D265">
        <f t="shared" si="8"/>
        <v>4.6295360824668225E-3</v>
      </c>
      <c r="E265">
        <f t="shared" si="9"/>
        <v>-4.361594357953625E-3</v>
      </c>
    </row>
    <row r="266" spans="1:5" x14ac:dyDescent="0.35">
      <c r="A266" s="1">
        <f>Calculs!A266</f>
        <v>44571</v>
      </c>
      <c r="B266">
        <f>Calculs!B266</f>
        <v>1798.4000244140625</v>
      </c>
      <c r="C266">
        <f>Calculs!C266</f>
        <v>1.088328772902889</v>
      </c>
      <c r="D266">
        <f t="shared" si="8"/>
        <v>7.7878649124794494E-4</v>
      </c>
      <c r="E266">
        <f t="shared" si="9"/>
        <v>2.7822687716794617E-3</v>
      </c>
    </row>
    <row r="267" spans="1:5" x14ac:dyDescent="0.35">
      <c r="A267" s="1">
        <f>Calculs!A267</f>
        <v>44572</v>
      </c>
      <c r="B267">
        <f>Calculs!B267</f>
        <v>1818.5999755859375</v>
      </c>
      <c r="C267">
        <f>Calculs!C267</f>
        <v>1.0785159395172295</v>
      </c>
      <c r="D267">
        <f t="shared" si="8"/>
        <v>1.1169566592358682E-2</v>
      </c>
      <c r="E267">
        <f t="shared" si="9"/>
        <v>-9.0573176862250807E-3</v>
      </c>
    </row>
    <row r="268" spans="1:5" x14ac:dyDescent="0.35">
      <c r="A268" s="1">
        <f>Calculs!A268</f>
        <v>44573</v>
      </c>
      <c r="B268">
        <f>Calculs!B268</f>
        <v>1827.199951171875</v>
      </c>
      <c r="C268">
        <f>Calculs!C268</f>
        <v>1.0828370313492033</v>
      </c>
      <c r="D268">
        <f t="shared" si="8"/>
        <v>4.7177528716020869E-3</v>
      </c>
      <c r="E268">
        <f t="shared" si="9"/>
        <v>3.9985117168616366E-3</v>
      </c>
    </row>
    <row r="269" spans="1:5" x14ac:dyDescent="0.35">
      <c r="A269" s="1">
        <f>Calculs!A269</f>
        <v>44574</v>
      </c>
      <c r="B269">
        <f>Calculs!B269</f>
        <v>1821.199951171875</v>
      </c>
      <c r="C269">
        <f>Calculs!C269</f>
        <v>1.0939243609000202</v>
      </c>
      <c r="D269">
        <f t="shared" si="8"/>
        <v>-3.2891160891035777E-3</v>
      </c>
      <c r="E269">
        <f t="shared" si="9"/>
        <v>1.0187083870544792E-2</v>
      </c>
    </row>
    <row r="270" spans="1:5" x14ac:dyDescent="0.35">
      <c r="A270" s="1">
        <f>Calculs!A270</f>
        <v>44575</v>
      </c>
      <c r="B270">
        <f>Calculs!B270</f>
        <v>1816.5</v>
      </c>
      <c r="C270">
        <f>Calculs!C270</f>
        <v>1.0976466358711956</v>
      </c>
      <c r="D270">
        <f t="shared" si="8"/>
        <v>-2.5840249884074937E-3</v>
      </c>
      <c r="E270">
        <f t="shared" si="9"/>
        <v>3.3969043721818605E-3</v>
      </c>
    </row>
    <row r="271" spans="1:5" x14ac:dyDescent="0.35">
      <c r="A271" s="1">
        <f>Calculs!A271</f>
        <v>44579</v>
      </c>
      <c r="B271">
        <f>Calculs!B271</f>
        <v>1812.300048828125</v>
      </c>
      <c r="C271">
        <f>Calculs!C271</f>
        <v>1.0941996815337511</v>
      </c>
      <c r="D271">
        <f t="shared" si="8"/>
        <v>-2.3147889058235732E-3</v>
      </c>
      <c r="E271">
        <f t="shared" si="9"/>
        <v>-3.1452544384079585E-3</v>
      </c>
    </row>
    <row r="272" spans="1:5" x14ac:dyDescent="0.35">
      <c r="A272" s="1">
        <f>Calculs!A272</f>
        <v>44580</v>
      </c>
      <c r="B272">
        <f>Calculs!B272</f>
        <v>1843.0999755859375</v>
      </c>
      <c r="C272">
        <f>Calculs!C272</f>
        <v>1.0904293358306878</v>
      </c>
      <c r="D272">
        <f t="shared" si="8"/>
        <v>1.6852139555948643E-2</v>
      </c>
      <c r="E272">
        <f t="shared" si="9"/>
        <v>-3.4517068266575195E-3</v>
      </c>
    </row>
    <row r="273" spans="1:5" x14ac:dyDescent="0.35">
      <c r="A273" s="1">
        <f>Calculs!A273</f>
        <v>44581</v>
      </c>
      <c r="B273">
        <f>Calculs!B273</f>
        <v>1842.5</v>
      </c>
      <c r="C273">
        <f>Calculs!C273</f>
        <v>1.0921799891011255</v>
      </c>
      <c r="D273">
        <f t="shared" si="8"/>
        <v>-3.2557824789001627E-4</v>
      </c>
      <c r="E273">
        <f t="shared" si="9"/>
        <v>1.6041841532231397E-3</v>
      </c>
    </row>
    <row r="274" spans="1:5" x14ac:dyDescent="0.35">
      <c r="A274" s="1">
        <f>Calculs!A274</f>
        <v>44582</v>
      </c>
      <c r="B274">
        <f>Calculs!B274</f>
        <v>1831.800048828125</v>
      </c>
      <c r="C274">
        <f>Calculs!C274</f>
        <v>1.0907028288801806</v>
      </c>
      <c r="D274">
        <f t="shared" si="8"/>
        <v>-5.8242284387881402E-3</v>
      </c>
      <c r="E274">
        <f t="shared" si="9"/>
        <v>-1.3534033382398751E-3</v>
      </c>
    </row>
    <row r="275" spans="1:5" x14ac:dyDescent="0.35">
      <c r="A275" s="1">
        <f>Calculs!A275</f>
        <v>44585</v>
      </c>
      <c r="B275">
        <f>Calculs!B275</f>
        <v>1841.699951171875</v>
      </c>
      <c r="C275">
        <f>Calculs!C275</f>
        <v>1.0957223294977558</v>
      </c>
      <c r="D275">
        <f t="shared" si="8"/>
        <v>5.3899149643273853E-3</v>
      </c>
      <c r="E275">
        <f t="shared" si="9"/>
        <v>4.5915218426707191E-3</v>
      </c>
    </row>
    <row r="276" spans="1:5" x14ac:dyDescent="0.35">
      <c r="A276" s="1">
        <f>Calculs!A276</f>
        <v>44586</v>
      </c>
      <c r="B276">
        <f>Calculs!B276</f>
        <v>1852.699951171875</v>
      </c>
      <c r="C276">
        <f>Calculs!C276</f>
        <v>1.0939842076280566</v>
      </c>
      <c r="D276">
        <f t="shared" si="8"/>
        <v>5.9549766118189669E-3</v>
      </c>
      <c r="E276">
        <f t="shared" si="9"/>
        <v>-1.5875389740826072E-3</v>
      </c>
    </row>
    <row r="277" spans="1:5" x14ac:dyDescent="0.35">
      <c r="A277" s="1">
        <f>Calculs!A277</f>
        <v>44587</v>
      </c>
      <c r="B277">
        <f>Calculs!B277</f>
        <v>1829.9000244140625</v>
      </c>
      <c r="C277">
        <f>Calculs!C277</f>
        <v>1.0896260968617524</v>
      </c>
      <c r="D277">
        <f t="shared" si="8"/>
        <v>-1.238267432546163E-2</v>
      </c>
      <c r="E277">
        <f t="shared" si="9"/>
        <v>-3.9916614644605409E-3</v>
      </c>
    </row>
    <row r="278" spans="1:5" x14ac:dyDescent="0.35">
      <c r="A278" s="1">
        <f>Calculs!A278</f>
        <v>44588</v>
      </c>
      <c r="B278">
        <f>Calculs!B278</f>
        <v>1793.300048828125</v>
      </c>
      <c r="C278">
        <f>Calculs!C278</f>
        <v>1.0823108164145285</v>
      </c>
      <c r="D278">
        <f t="shared" si="8"/>
        <v>-2.0203808692925051E-2</v>
      </c>
      <c r="E278">
        <f t="shared" si="9"/>
        <v>-6.7362068062794406E-3</v>
      </c>
    </row>
    <row r="279" spans="1:5" x14ac:dyDescent="0.35">
      <c r="A279" s="1">
        <f>Calculs!A279</f>
        <v>44589</v>
      </c>
      <c r="B279">
        <f>Calculs!B279</f>
        <v>1784.9000244140625</v>
      </c>
      <c r="C279">
        <f>Calculs!C279</f>
        <v>1.0742638646735658</v>
      </c>
      <c r="D279">
        <f t="shared" si="8"/>
        <v>-4.6951202688890054E-3</v>
      </c>
      <c r="E279">
        <f t="shared" si="9"/>
        <v>-7.4627502194365754E-3</v>
      </c>
    </row>
    <row r="280" spans="1:5" x14ac:dyDescent="0.35">
      <c r="A280" s="1">
        <f>Calculs!A280</f>
        <v>44592</v>
      </c>
      <c r="B280">
        <f>Calculs!B280</f>
        <v>1795</v>
      </c>
      <c r="C280">
        <f>Calculs!C280</f>
        <v>1.0739639025516252</v>
      </c>
      <c r="D280">
        <f t="shared" si="8"/>
        <v>5.6426170088050252E-3</v>
      </c>
      <c r="E280">
        <f t="shared" si="9"/>
        <v>-2.792647301803959E-4</v>
      </c>
    </row>
    <row r="281" spans="1:5" x14ac:dyDescent="0.35">
      <c r="A281" s="1">
        <f>Calculs!A281</f>
        <v>44593</v>
      </c>
      <c r="B281">
        <f>Calculs!B281</f>
        <v>1800.300048828125</v>
      </c>
      <c r="C281">
        <f>Calculs!C281</f>
        <v>1.0786555920889149</v>
      </c>
      <c r="D281">
        <f t="shared" si="8"/>
        <v>2.9483228634129628E-3</v>
      </c>
      <c r="E281">
        <f t="shared" si="9"/>
        <v>4.3590583268619375E-3</v>
      </c>
    </row>
    <row r="282" spans="1:5" x14ac:dyDescent="0.35">
      <c r="A282" s="1">
        <f>Calculs!A282</f>
        <v>44594</v>
      </c>
      <c r="B282">
        <f>Calculs!B282</f>
        <v>1809.199951171875</v>
      </c>
      <c r="C282">
        <f>Calculs!C282</f>
        <v>1.0858470905957092</v>
      </c>
      <c r="D282">
        <f t="shared" si="8"/>
        <v>4.9313868291021275E-3</v>
      </c>
      <c r="E282">
        <f t="shared" si="9"/>
        <v>6.6449674804084239E-3</v>
      </c>
    </row>
    <row r="283" spans="1:5" x14ac:dyDescent="0.35">
      <c r="A283" s="1">
        <f>Calculs!A283</f>
        <v>44595</v>
      </c>
      <c r="B283">
        <f>Calculs!B283</f>
        <v>1803</v>
      </c>
      <c r="C283">
        <f>Calculs!C283</f>
        <v>1.088186675089946</v>
      </c>
      <c r="D283">
        <f t="shared" si="8"/>
        <v>-3.4327874115770577E-3</v>
      </c>
      <c r="E283">
        <f t="shared" si="9"/>
        <v>2.1522990436672025E-3</v>
      </c>
    </row>
    <row r="284" spans="1:5" x14ac:dyDescent="0.35">
      <c r="A284" s="1">
        <f>Calculs!A284</f>
        <v>44596</v>
      </c>
      <c r="B284">
        <f>Calculs!B284</f>
        <v>1806.5999755859375</v>
      </c>
      <c r="C284">
        <f>Calculs!C284</f>
        <v>1.0865195723194876</v>
      </c>
      <c r="D284">
        <f t="shared" si="8"/>
        <v>1.9946679986083213E-3</v>
      </c>
      <c r="E284">
        <f t="shared" si="9"/>
        <v>-1.5331754336988922E-3</v>
      </c>
    </row>
    <row r="285" spans="1:5" x14ac:dyDescent="0.35">
      <c r="A285" s="1">
        <f>Calculs!A285</f>
        <v>44599</v>
      </c>
      <c r="B285">
        <f>Calculs!B285</f>
        <v>1820.5999755859375</v>
      </c>
      <c r="C285">
        <f>Calculs!C285</f>
        <v>1.080940855507573</v>
      </c>
      <c r="D285">
        <f t="shared" si="8"/>
        <v>7.7194914593634936E-3</v>
      </c>
      <c r="E285">
        <f t="shared" si="9"/>
        <v>-5.1477102506241202E-3</v>
      </c>
    </row>
    <row r="286" spans="1:5" x14ac:dyDescent="0.35">
      <c r="A286" s="1">
        <f>Calculs!A286</f>
        <v>44600</v>
      </c>
      <c r="B286">
        <f>Calculs!B286</f>
        <v>1826.5999755859375</v>
      </c>
      <c r="C286">
        <f>Calculs!C286</f>
        <v>1.0833649474832736</v>
      </c>
      <c r="D286">
        <f t="shared" si="8"/>
        <v>3.290198230438897E-3</v>
      </c>
      <c r="E286">
        <f t="shared" si="9"/>
        <v>2.2400651386723204E-3</v>
      </c>
    </row>
    <row r="287" spans="1:5" x14ac:dyDescent="0.35">
      <c r="A287" s="1">
        <f>Calculs!A287</f>
        <v>44601</v>
      </c>
      <c r="B287">
        <f>Calculs!B287</f>
        <v>1835.199951171875</v>
      </c>
      <c r="C287">
        <f>Calculs!C287</f>
        <v>1.0810810671486588</v>
      </c>
      <c r="D287">
        <f t="shared" si="8"/>
        <v>4.697138876945367E-3</v>
      </c>
      <c r="E287">
        <f t="shared" si="9"/>
        <v>-2.1103609577729702E-3</v>
      </c>
    </row>
    <row r="288" spans="1:5" x14ac:dyDescent="0.35">
      <c r="A288" s="1">
        <f>Calculs!A288</f>
        <v>44602</v>
      </c>
      <c r="B288">
        <f>Calculs!B288</f>
        <v>1836.199951171875</v>
      </c>
      <c r="C288">
        <f>Calculs!C288</f>
        <v>1.0819934348602485</v>
      </c>
      <c r="D288">
        <f t="shared" si="8"/>
        <v>5.4475134898338722E-4</v>
      </c>
      <c r="E288">
        <f t="shared" si="9"/>
        <v>8.4358422684780582E-4</v>
      </c>
    </row>
    <row r="289" spans="1:5" x14ac:dyDescent="0.35">
      <c r="A289" s="1">
        <f>Calculs!A289</f>
        <v>44603</v>
      </c>
      <c r="B289">
        <f>Calculs!B289</f>
        <v>1840.800048828125</v>
      </c>
      <c r="C289">
        <f>Calculs!C289</f>
        <v>1.0803219352690918</v>
      </c>
      <c r="D289">
        <f t="shared" si="8"/>
        <v>2.502094128990784E-3</v>
      </c>
      <c r="E289">
        <f t="shared" si="9"/>
        <v>-1.5460278802826505E-3</v>
      </c>
    </row>
    <row r="290" spans="1:5" x14ac:dyDescent="0.35">
      <c r="A290" s="1">
        <f>Calculs!A290</f>
        <v>44606</v>
      </c>
      <c r="B290">
        <f>Calculs!B290</f>
        <v>1868</v>
      </c>
      <c r="C290">
        <f>Calculs!C290</f>
        <v>1.0814084388477749</v>
      </c>
      <c r="D290">
        <f t="shared" si="8"/>
        <v>1.4668053542140463E-2</v>
      </c>
      <c r="E290">
        <f t="shared" si="9"/>
        <v>1.0052166386533144E-3</v>
      </c>
    </row>
    <row r="291" spans="1:5" x14ac:dyDescent="0.35">
      <c r="A291" s="1">
        <f>Calculs!A291</f>
        <v>44607</v>
      </c>
      <c r="B291">
        <f>Calculs!B291</f>
        <v>1854.800048828125</v>
      </c>
      <c r="C291">
        <f>Calculs!C291</f>
        <v>1.0816540628974673</v>
      </c>
      <c r="D291">
        <f t="shared" si="8"/>
        <v>-7.0914399462048017E-3</v>
      </c>
      <c r="E291">
        <f t="shared" si="9"/>
        <v>2.2710767770222186E-4</v>
      </c>
    </row>
    <row r="292" spans="1:5" x14ac:dyDescent="0.35">
      <c r="A292" s="1">
        <f>Calculs!A292</f>
        <v>44608</v>
      </c>
      <c r="B292">
        <f>Calculs!B292</f>
        <v>1870.199951171875</v>
      </c>
      <c r="C292">
        <f>Calculs!C292</f>
        <v>1.0805670659481357</v>
      </c>
      <c r="D292">
        <f t="shared" si="8"/>
        <v>8.2684510502585538E-3</v>
      </c>
      <c r="E292">
        <f t="shared" si="9"/>
        <v>-1.0054448422527329E-3</v>
      </c>
    </row>
    <row r="293" spans="1:5" x14ac:dyDescent="0.35">
      <c r="A293" s="1">
        <f>Calculs!A293</f>
        <v>44609</v>
      </c>
      <c r="B293">
        <f>Calculs!B293</f>
        <v>1900.699951171875</v>
      </c>
      <c r="C293">
        <f>Calculs!C293</f>
        <v>1.0850694630834721</v>
      </c>
      <c r="D293">
        <f t="shared" si="8"/>
        <v>1.6176862774401283E-2</v>
      </c>
      <c r="E293">
        <f t="shared" si="9"/>
        <v>4.1580418153488253E-3</v>
      </c>
    </row>
    <row r="294" spans="1:5" x14ac:dyDescent="0.35">
      <c r="A294" s="1">
        <f>Calculs!A294</f>
        <v>44610</v>
      </c>
      <c r="B294">
        <f>Calculs!B294</f>
        <v>1898.5999755859375</v>
      </c>
      <c r="C294">
        <f>Calculs!C294</f>
        <v>1.0874293053660773</v>
      </c>
      <c r="D294">
        <f t="shared" si="8"/>
        <v>-1.1054540785265011E-3</v>
      </c>
      <c r="E294">
        <f t="shared" si="9"/>
        <v>2.172469089517117E-3</v>
      </c>
    </row>
    <row r="295" spans="1:5" x14ac:dyDescent="0.35">
      <c r="A295" s="1">
        <f>Calculs!A295</f>
        <v>44614</v>
      </c>
      <c r="B295">
        <f>Calculs!B295</f>
        <v>1906.0999755859375</v>
      </c>
      <c r="C295">
        <f>Calculs!C295</f>
        <v>1.0920488256769614</v>
      </c>
      <c r="D295">
        <f t="shared" si="8"/>
        <v>3.9424973379259039E-3</v>
      </c>
      <c r="E295">
        <f t="shared" si="9"/>
        <v>4.239113173788972E-3</v>
      </c>
    </row>
    <row r="296" spans="1:5" x14ac:dyDescent="0.35">
      <c r="A296" s="1">
        <f>Calculs!A296</f>
        <v>44615</v>
      </c>
      <c r="B296">
        <f>Calculs!B296</f>
        <v>1909.199951171875</v>
      </c>
      <c r="C296">
        <f>Calculs!C296</f>
        <v>1.0851165539361698</v>
      </c>
      <c r="D296">
        <f t="shared" si="8"/>
        <v>1.6250236299235957E-3</v>
      </c>
      <c r="E296">
        <f t="shared" si="9"/>
        <v>-6.3681842759116224E-3</v>
      </c>
    </row>
    <row r="297" spans="1:5" x14ac:dyDescent="0.35">
      <c r="A297" s="1">
        <f>Calculs!A297</f>
        <v>44616</v>
      </c>
      <c r="B297">
        <f>Calculs!B297</f>
        <v>1925.0999755859375</v>
      </c>
      <c r="C297">
        <f>Calculs!C297</f>
        <v>1.0900132629458605</v>
      </c>
      <c r="D297">
        <f t="shared" si="8"/>
        <v>8.2936211860425418E-3</v>
      </c>
      <c r="E297">
        <f t="shared" si="9"/>
        <v>4.5024598016312773E-3</v>
      </c>
    </row>
    <row r="298" spans="1:5" x14ac:dyDescent="0.35">
      <c r="A298" s="1">
        <f>Calculs!A298</f>
        <v>44617</v>
      </c>
      <c r="B298">
        <f>Calculs!B298</f>
        <v>1886.5</v>
      </c>
      <c r="C298">
        <f>Calculs!C298</f>
        <v>1.0801002097596231</v>
      </c>
      <c r="D298">
        <f t="shared" si="8"/>
        <v>-2.0254641338243038E-2</v>
      </c>
      <c r="E298">
        <f t="shared" si="9"/>
        <v>-9.1360403610998495E-3</v>
      </c>
    </row>
    <row r="299" spans="1:5" x14ac:dyDescent="0.35">
      <c r="A299" s="1">
        <f>Calculs!A299</f>
        <v>44620</v>
      </c>
      <c r="B299">
        <f>Calculs!B299</f>
        <v>1899.4000244140625</v>
      </c>
      <c r="C299">
        <f>Calculs!C299</f>
        <v>1.0792178270569426</v>
      </c>
      <c r="D299">
        <f t="shared" si="8"/>
        <v>6.8147992580523927E-3</v>
      </c>
      <c r="E299">
        <f t="shared" si="9"/>
        <v>-8.1727910085601784E-4</v>
      </c>
    </row>
    <row r="300" spans="1:5" x14ac:dyDescent="0.35">
      <c r="A300" s="1">
        <f>Calculs!A300</f>
        <v>44621</v>
      </c>
      <c r="B300">
        <f>Calculs!B300</f>
        <v>1942.4000244140625</v>
      </c>
      <c r="C300">
        <f>Calculs!C300</f>
        <v>1.0899182334729804</v>
      </c>
      <c r="D300">
        <f t="shared" si="8"/>
        <v>2.2386274771780384E-2</v>
      </c>
      <c r="E300">
        <f t="shared" si="9"/>
        <v>9.8661337195631339E-3</v>
      </c>
    </row>
    <row r="301" spans="1:5" x14ac:dyDescent="0.35">
      <c r="A301" s="1">
        <f>Calculs!A301</f>
        <v>44622</v>
      </c>
      <c r="B301">
        <f>Calculs!B301</f>
        <v>1920.9000244140625</v>
      </c>
      <c r="C301">
        <f>Calculs!C301</f>
        <v>1.0886604788305405</v>
      </c>
      <c r="D301">
        <f t="shared" si="8"/>
        <v>-1.1130495531632012E-2</v>
      </c>
      <c r="E301">
        <f t="shared" si="9"/>
        <v>-1.154656267479864E-3</v>
      </c>
    </row>
    <row r="302" spans="1:5" x14ac:dyDescent="0.35">
      <c r="A302" s="1">
        <f>Calculs!A302</f>
        <v>44623</v>
      </c>
      <c r="B302">
        <f>Calculs!B302</f>
        <v>1934.4000244140625</v>
      </c>
      <c r="C302">
        <f>Calculs!C302</f>
        <v>1.0863424930828063</v>
      </c>
      <c r="D302">
        <f t="shared" si="8"/>
        <v>7.0033745789622242E-3</v>
      </c>
      <c r="E302">
        <f t="shared" si="9"/>
        <v>-2.1314790418745515E-3</v>
      </c>
    </row>
    <row r="303" spans="1:5" x14ac:dyDescent="0.35">
      <c r="A303" s="1">
        <f>Calculs!A303</f>
        <v>44624</v>
      </c>
      <c r="B303">
        <f>Calculs!B303</f>
        <v>1965.0999755859375</v>
      </c>
      <c r="C303">
        <f>Calculs!C303</f>
        <v>1.0894432638019425</v>
      </c>
      <c r="D303">
        <f t="shared" si="8"/>
        <v>1.5745908688366235E-2</v>
      </c>
      <c r="E303">
        <f t="shared" si="9"/>
        <v>2.8502556453777346E-3</v>
      </c>
    </row>
    <row r="304" spans="1:5" x14ac:dyDescent="0.35">
      <c r="A304" s="1">
        <f>Calculs!A304</f>
        <v>44627</v>
      </c>
      <c r="B304">
        <f>Calculs!B304</f>
        <v>1993.9000244140625</v>
      </c>
      <c r="C304">
        <f>Calculs!C304</f>
        <v>1.0867675239411927</v>
      </c>
      <c r="D304">
        <f t="shared" si="8"/>
        <v>1.4549409887335826E-2</v>
      </c>
      <c r="E304">
        <f t="shared" si="9"/>
        <v>-2.4590827544735154E-3</v>
      </c>
    </row>
    <row r="305" spans="1:5" x14ac:dyDescent="0.35">
      <c r="A305" s="1">
        <f>Calculs!A305</f>
        <v>44628</v>
      </c>
      <c r="B305">
        <f>Calculs!B305</f>
        <v>2040.0999755859375</v>
      </c>
      <c r="C305">
        <f>Calculs!C305</f>
        <v>1.0805553739660805</v>
      </c>
      <c r="D305">
        <f t="shared" si="8"/>
        <v>2.2906282220362194E-2</v>
      </c>
      <c r="E305">
        <f t="shared" si="9"/>
        <v>-5.7325717301007521E-3</v>
      </c>
    </row>
    <row r="306" spans="1:5" x14ac:dyDescent="0.35">
      <c r="A306" s="1">
        <f>Calculs!A306</f>
        <v>44629</v>
      </c>
      <c r="B306">
        <f>Calculs!B306</f>
        <v>1985.9000244140625</v>
      </c>
      <c r="C306">
        <f>Calculs!C306</f>
        <v>1.0757777807843567</v>
      </c>
      <c r="D306">
        <f t="shared" si="8"/>
        <v>-2.6926590113771603E-2</v>
      </c>
      <c r="E306">
        <f t="shared" si="9"/>
        <v>-4.4312271402414073E-3</v>
      </c>
    </row>
    <row r="307" spans="1:5" x14ac:dyDescent="0.35">
      <c r="A307" s="1">
        <f>Calculs!A307</f>
        <v>44630</v>
      </c>
      <c r="B307">
        <f>Calculs!B307</f>
        <v>1998.0999755859375</v>
      </c>
      <c r="C307">
        <f>Calculs!C307</f>
        <v>1.0793424542826158</v>
      </c>
      <c r="D307">
        <f t="shared" si="8"/>
        <v>6.1244926236270801E-3</v>
      </c>
      <c r="E307">
        <f t="shared" si="9"/>
        <v>3.3081001153414829E-3</v>
      </c>
    </row>
    <row r="308" spans="1:5" x14ac:dyDescent="0.35">
      <c r="A308" s="1">
        <f>Calculs!A308</f>
        <v>44631</v>
      </c>
      <c r="B308">
        <f>Calculs!B308</f>
        <v>1982.699951171875</v>
      </c>
      <c r="C308">
        <f>Calculs!C308</f>
        <v>1.0759861417180629</v>
      </c>
      <c r="D308">
        <f t="shared" si="8"/>
        <v>-7.7371892700182146E-3</v>
      </c>
      <c r="E308">
        <f t="shared" si="9"/>
        <v>-3.1144348789478886E-3</v>
      </c>
    </row>
    <row r="309" spans="1:5" x14ac:dyDescent="0.35">
      <c r="A309" s="1">
        <f>Calculs!A309</f>
        <v>44634</v>
      </c>
      <c r="B309">
        <f>Calculs!B309</f>
        <v>1959.5999755859375</v>
      </c>
      <c r="C309">
        <f>Calculs!C309</f>
        <v>1.069781885140942</v>
      </c>
      <c r="D309">
        <f t="shared" si="8"/>
        <v>-1.1719169211706966E-2</v>
      </c>
      <c r="E309">
        <f t="shared" si="9"/>
        <v>-5.7828001806797934E-3</v>
      </c>
    </row>
    <row r="310" spans="1:5" x14ac:dyDescent="0.35">
      <c r="A310" s="1">
        <f>Calculs!A310</f>
        <v>44635</v>
      </c>
      <c r="B310">
        <f>Calculs!B310</f>
        <v>1928.5</v>
      </c>
      <c r="C310">
        <f>Calculs!C310</f>
        <v>1.0657572051234456</v>
      </c>
      <c r="D310">
        <f t="shared" si="8"/>
        <v>-1.5997859657440227E-2</v>
      </c>
      <c r="E310">
        <f t="shared" si="9"/>
        <v>-3.7692447783307793E-3</v>
      </c>
    </row>
    <row r="311" spans="1:5" x14ac:dyDescent="0.35">
      <c r="A311" s="1">
        <f>Calculs!A311</f>
        <v>44636</v>
      </c>
      <c r="B311">
        <f>Calculs!B311</f>
        <v>1908</v>
      </c>
      <c r="C311">
        <f>Calculs!C311</f>
        <v>1.0629477848274695</v>
      </c>
      <c r="D311">
        <f t="shared" si="8"/>
        <v>-1.0686925640050688E-2</v>
      </c>
      <c r="E311">
        <f t="shared" si="9"/>
        <v>-2.6395596763342062E-3</v>
      </c>
    </row>
    <row r="312" spans="1:5" x14ac:dyDescent="0.35">
      <c r="A312" s="1">
        <f>Calculs!A312</f>
        <v>44637</v>
      </c>
      <c r="B312">
        <f>Calculs!B312</f>
        <v>1942.0999755859375</v>
      </c>
      <c r="C312">
        <f>Calculs!C312</f>
        <v>1.0620672410251346</v>
      </c>
      <c r="D312">
        <f t="shared" si="8"/>
        <v>1.7714276252213116E-2</v>
      </c>
      <c r="E312">
        <f t="shared" si="9"/>
        <v>-8.2874129549173928E-4</v>
      </c>
    </row>
    <row r="313" spans="1:5" x14ac:dyDescent="0.35">
      <c r="A313" s="1">
        <f>Calculs!A313</f>
        <v>44638</v>
      </c>
      <c r="B313">
        <f>Calculs!B313</f>
        <v>1928.199951171875</v>
      </c>
      <c r="C313">
        <f>Calculs!C313</f>
        <v>1.0683532212883371</v>
      </c>
      <c r="D313">
        <f t="shared" si="8"/>
        <v>-7.1829493533294873E-3</v>
      </c>
      <c r="E313">
        <f t="shared" si="9"/>
        <v>5.901181120132745E-3</v>
      </c>
    </row>
    <row r="314" spans="1:5" x14ac:dyDescent="0.35">
      <c r="A314" s="1">
        <f>Calculs!A314</f>
        <v>44641</v>
      </c>
      <c r="B314">
        <f>Calculs!B314</f>
        <v>1928.5999755859375</v>
      </c>
      <c r="C314">
        <f>Calculs!C314</f>
        <v>1.0718917902208847</v>
      </c>
      <c r="D314">
        <f t="shared" si="8"/>
        <v>2.0743851021229863E-4</v>
      </c>
      <c r="E314">
        <f t="shared" si="9"/>
        <v>3.3066981937290279E-3</v>
      </c>
    </row>
    <row r="315" spans="1:5" x14ac:dyDescent="0.35">
      <c r="A315" s="1">
        <f>Calculs!A315</f>
        <v>44642</v>
      </c>
      <c r="B315">
        <f>Calculs!B315</f>
        <v>1920.699951171875</v>
      </c>
      <c r="C315">
        <f>Calculs!C315</f>
        <v>1.0708014204323155</v>
      </c>
      <c r="D315">
        <f t="shared" si="8"/>
        <v>-4.1046609285687119E-3</v>
      </c>
      <c r="E315">
        <f t="shared" si="9"/>
        <v>-1.0177564172674065E-3</v>
      </c>
    </row>
    <row r="316" spans="1:5" x14ac:dyDescent="0.35">
      <c r="A316" s="1">
        <f>Calculs!A316</f>
        <v>44643</v>
      </c>
      <c r="B316">
        <f>Calculs!B316</f>
        <v>1936.5999755859375</v>
      </c>
      <c r="C316">
        <f>Calculs!C316</f>
        <v>1.0713405812163344</v>
      </c>
      <c r="D316">
        <f t="shared" si="8"/>
        <v>8.2441680820088629E-3</v>
      </c>
      <c r="E316">
        <f t="shared" si="9"/>
        <v>5.0338473825640854E-4</v>
      </c>
    </row>
    <row r="317" spans="1:5" x14ac:dyDescent="0.35">
      <c r="A317" s="1">
        <f>Calculs!A317</f>
        <v>44644</v>
      </c>
      <c r="B317">
        <f>Calculs!B317</f>
        <v>1961.5999755859375</v>
      </c>
      <c r="C317">
        <f>Calculs!C317</f>
        <v>1.0744370277344253</v>
      </c>
      <c r="D317">
        <f t="shared" si="8"/>
        <v>1.2826608725129677E-2</v>
      </c>
      <c r="E317">
        <f t="shared" si="9"/>
        <v>2.8860853561826511E-3</v>
      </c>
    </row>
    <row r="318" spans="1:5" x14ac:dyDescent="0.35">
      <c r="A318" s="1">
        <f>Calculs!A318</f>
        <v>44645</v>
      </c>
      <c r="B318">
        <f>Calculs!B318</f>
        <v>1953.800048828125</v>
      </c>
      <c r="C318">
        <f>Calculs!C318</f>
        <v>1.0758588387748462</v>
      </c>
      <c r="D318">
        <f t="shared" si="8"/>
        <v>-3.9842350856929614E-3</v>
      </c>
      <c r="E318">
        <f t="shared" si="9"/>
        <v>1.3224331309697379E-3</v>
      </c>
    </row>
    <row r="319" spans="1:5" x14ac:dyDescent="0.35">
      <c r="A319" s="1">
        <f>Calculs!A319</f>
        <v>44648</v>
      </c>
      <c r="B319">
        <f>Calculs!B319</f>
        <v>1939.5999755859375</v>
      </c>
      <c r="C319">
        <f>Calculs!C319</f>
        <v>1.0738024380000202</v>
      </c>
      <c r="D319">
        <f t="shared" si="8"/>
        <v>-7.294465566171339E-3</v>
      </c>
      <c r="E319">
        <f t="shared" si="9"/>
        <v>-1.9132329584429808E-3</v>
      </c>
    </row>
    <row r="320" spans="1:5" x14ac:dyDescent="0.35">
      <c r="A320" s="1">
        <f>Calculs!A320</f>
        <v>44649</v>
      </c>
      <c r="B320">
        <f>Calculs!B320</f>
        <v>1912</v>
      </c>
      <c r="C320">
        <f>Calculs!C320</f>
        <v>1.071042249158489</v>
      </c>
      <c r="D320">
        <f t="shared" si="8"/>
        <v>-1.4331939032686957E-2</v>
      </c>
      <c r="E320">
        <f t="shared" si="9"/>
        <v>-2.5737904303954617E-3</v>
      </c>
    </row>
    <row r="321" spans="1:5" x14ac:dyDescent="0.35">
      <c r="A321" s="1">
        <f>Calculs!A321</f>
        <v>44650</v>
      </c>
      <c r="B321">
        <f>Calculs!B321</f>
        <v>1933.5</v>
      </c>
      <c r="C321">
        <f>Calculs!C321</f>
        <v>1.0739408037521192</v>
      </c>
      <c r="D321">
        <f t="shared" si="8"/>
        <v>1.1182017436005276E-2</v>
      </c>
      <c r="E321">
        <f t="shared" si="9"/>
        <v>2.7026380036068057E-3</v>
      </c>
    </row>
    <row r="322" spans="1:5" x14ac:dyDescent="0.35">
      <c r="A322" s="1">
        <f>Calculs!A322</f>
        <v>44651</v>
      </c>
      <c r="B322">
        <f>Calculs!B322</f>
        <v>1949.199951171875</v>
      </c>
      <c r="C322">
        <f>Calculs!C322</f>
        <v>1.0834588375863996</v>
      </c>
      <c r="D322">
        <f t="shared" si="8"/>
        <v>8.0871748716578509E-3</v>
      </c>
      <c r="E322">
        <f t="shared" si="9"/>
        <v>8.8236740247798744E-3</v>
      </c>
    </row>
    <row r="323" spans="1:5" x14ac:dyDescent="0.35">
      <c r="A323" s="1">
        <f>Calculs!A323</f>
        <v>44652</v>
      </c>
      <c r="B323">
        <f>Calculs!B323</f>
        <v>1919.0999755859375</v>
      </c>
      <c r="C323">
        <f>Calculs!C323</f>
        <v>1.083200643985063</v>
      </c>
      <c r="D323">
        <f t="shared" si="8"/>
        <v>-1.5562693516428947E-2</v>
      </c>
      <c r="E323">
        <f t="shared" si="9"/>
        <v>-2.3833334656866618E-4</v>
      </c>
    </row>
    <row r="324" spans="1:5" x14ac:dyDescent="0.35">
      <c r="A324" s="1">
        <f>Calculs!A324</f>
        <v>44655</v>
      </c>
      <c r="B324">
        <f>Calculs!B324</f>
        <v>1929.199951171875</v>
      </c>
      <c r="C324">
        <f>Calculs!C324</f>
        <v>1.0800302613154196</v>
      </c>
      <c r="D324">
        <f t="shared" ref="D324:D387" si="10">LN(B324/B323)</f>
        <v>5.2490704821979012E-3</v>
      </c>
      <c r="E324">
        <f t="shared" ref="E324:E387" si="11">LN(C324/C323)</f>
        <v>-2.9311572165366413E-3</v>
      </c>
    </row>
    <row r="325" spans="1:5" x14ac:dyDescent="0.35">
      <c r="A325" s="1">
        <f>Calculs!A325</f>
        <v>44656</v>
      </c>
      <c r="B325">
        <f>Calculs!B325</f>
        <v>1922.9000244140625</v>
      </c>
      <c r="C325">
        <f>Calculs!C325</f>
        <v>1.0796804465032852</v>
      </c>
      <c r="D325">
        <f t="shared" si="10"/>
        <v>-3.270908031756635E-3</v>
      </c>
      <c r="E325">
        <f t="shared" si="11"/>
        <v>-3.2394599325463627E-4</v>
      </c>
    </row>
    <row r="326" spans="1:5" x14ac:dyDescent="0.35">
      <c r="A326" s="1">
        <f>Calculs!A326</f>
        <v>44657</v>
      </c>
      <c r="B326">
        <f>Calculs!B326</f>
        <v>1918.4000244140625</v>
      </c>
      <c r="C326">
        <f>Calculs!C326</f>
        <v>1.0757314969768084</v>
      </c>
      <c r="D326">
        <f t="shared" si="10"/>
        <v>-2.3429578535094993E-3</v>
      </c>
      <c r="E326">
        <f t="shared" si="11"/>
        <v>-3.6642220126964151E-3</v>
      </c>
    </row>
    <row r="327" spans="1:5" x14ac:dyDescent="0.35">
      <c r="A327" s="1">
        <f>Calculs!A327</f>
        <v>44658</v>
      </c>
      <c r="B327">
        <f>Calculs!B327</f>
        <v>1933.800048828125</v>
      </c>
      <c r="C327">
        <f>Calculs!C327</f>
        <v>1.0717539519180457</v>
      </c>
      <c r="D327">
        <f t="shared" si="10"/>
        <v>7.9954862997662409E-3</v>
      </c>
      <c r="E327">
        <f t="shared" si="11"/>
        <v>-3.704378634342705E-3</v>
      </c>
    </row>
    <row r="328" spans="1:5" x14ac:dyDescent="0.35">
      <c r="A328" s="1">
        <f>Calculs!A328</f>
        <v>44659</v>
      </c>
      <c r="B328">
        <f>Calculs!B328</f>
        <v>1941.5999755859375</v>
      </c>
      <c r="C328">
        <f>Calculs!C328</f>
        <v>1.0701138469877451</v>
      </c>
      <c r="D328">
        <f t="shared" si="10"/>
        <v>4.0253585389149931E-3</v>
      </c>
      <c r="E328">
        <f t="shared" si="11"/>
        <v>-1.5314719719842452E-3</v>
      </c>
    </row>
    <row r="329" spans="1:5" x14ac:dyDescent="0.35">
      <c r="A329" s="1">
        <f>Calculs!A329</f>
        <v>44662</v>
      </c>
      <c r="B329">
        <f>Calculs!B329</f>
        <v>1944.300048828125</v>
      </c>
      <c r="C329">
        <f>Calculs!C329</f>
        <v>1.070388784036898</v>
      </c>
      <c r="D329">
        <f t="shared" si="10"/>
        <v>1.3896773770587837E-3</v>
      </c>
      <c r="E329">
        <f t="shared" si="11"/>
        <v>2.5689017773652912E-4</v>
      </c>
    </row>
    <row r="330" spans="1:5" x14ac:dyDescent="0.35">
      <c r="A330" s="1">
        <f>Calculs!A330</f>
        <v>44663</v>
      </c>
      <c r="B330">
        <f>Calculs!B330</f>
        <v>1972.0999755859375</v>
      </c>
      <c r="C330">
        <f>Calculs!C330</f>
        <v>1.073767869313438</v>
      </c>
      <c r="D330">
        <f t="shared" si="10"/>
        <v>1.4196912221042413E-2</v>
      </c>
      <c r="E330">
        <f t="shared" si="11"/>
        <v>3.1519041005887462E-3</v>
      </c>
    </row>
    <row r="331" spans="1:5" x14ac:dyDescent="0.35">
      <c r="A331" s="1">
        <f>Calculs!A331</f>
        <v>44664</v>
      </c>
      <c r="B331">
        <f>Calculs!B331</f>
        <v>1981</v>
      </c>
      <c r="C331">
        <f>Calculs!C331</f>
        <v>1.0722250630036756</v>
      </c>
      <c r="D331">
        <f t="shared" si="10"/>
        <v>4.5028152622562474E-3</v>
      </c>
      <c r="E331">
        <f t="shared" si="11"/>
        <v>-1.4378487014843706E-3</v>
      </c>
    </row>
    <row r="332" spans="1:5" x14ac:dyDescent="0.35">
      <c r="A332" s="1">
        <f>Calculs!A332</f>
        <v>44665</v>
      </c>
      <c r="B332">
        <f>Calculs!B332</f>
        <v>1970.9000244140625</v>
      </c>
      <c r="C332">
        <f>Calculs!C332</f>
        <v>1.0708357983770507</v>
      </c>
      <c r="D332">
        <f t="shared" si="10"/>
        <v>-5.1114641128363805E-3</v>
      </c>
      <c r="E332">
        <f t="shared" si="11"/>
        <v>-1.296523907715493E-3</v>
      </c>
    </row>
    <row r="333" spans="1:5" x14ac:dyDescent="0.35">
      <c r="A333" s="1">
        <f>Calculs!A333</f>
        <v>44669</v>
      </c>
      <c r="B333">
        <f>Calculs!B333</f>
        <v>1982.9000244140625</v>
      </c>
      <c r="C333">
        <f>Calculs!C333</f>
        <v>1.0611880877746913</v>
      </c>
      <c r="D333">
        <f t="shared" si="10"/>
        <v>6.0701283313464912E-3</v>
      </c>
      <c r="E333">
        <f t="shared" si="11"/>
        <v>-9.0503455590706279E-3</v>
      </c>
    </row>
    <row r="334" spans="1:5" x14ac:dyDescent="0.35">
      <c r="A334" s="1">
        <f>Calculs!A334</f>
        <v>44670</v>
      </c>
      <c r="B334">
        <f>Calculs!B334</f>
        <v>1955.699951171875</v>
      </c>
      <c r="C334">
        <f>Calculs!C334</f>
        <v>1.0586491792719197</v>
      </c>
      <c r="D334">
        <f t="shared" si="10"/>
        <v>-1.3812271285541397E-2</v>
      </c>
      <c r="E334">
        <f t="shared" si="11"/>
        <v>-2.3953817174835524E-3</v>
      </c>
    </row>
    <row r="335" spans="1:5" x14ac:dyDescent="0.35">
      <c r="A335" s="1">
        <f>Calculs!A335</f>
        <v>44671</v>
      </c>
      <c r="B335">
        <f>Calculs!B335</f>
        <v>1952.300048828125</v>
      </c>
      <c r="C335">
        <f>Calculs!C335</f>
        <v>1.050353986711005</v>
      </c>
      <c r="D335">
        <f t="shared" si="10"/>
        <v>-1.7399709321988879E-3</v>
      </c>
      <c r="E335">
        <f t="shared" si="11"/>
        <v>-7.8664987056034259E-3</v>
      </c>
    </row>
    <row r="336" spans="1:5" x14ac:dyDescent="0.35">
      <c r="A336" s="1">
        <f>Calculs!A336</f>
        <v>44672</v>
      </c>
      <c r="B336">
        <f>Calculs!B336</f>
        <v>1944.9000244140625</v>
      </c>
      <c r="C336">
        <f>Calculs!C336</f>
        <v>1.0537407787092461</v>
      </c>
      <c r="D336">
        <f t="shared" si="10"/>
        <v>-3.7976152973985644E-3</v>
      </c>
      <c r="E336">
        <f t="shared" si="11"/>
        <v>3.2192418125116468E-3</v>
      </c>
    </row>
    <row r="337" spans="1:5" x14ac:dyDescent="0.35">
      <c r="A337" s="1">
        <f>Calculs!A337</f>
        <v>44673</v>
      </c>
      <c r="B337">
        <f>Calculs!B337</f>
        <v>1931</v>
      </c>
      <c r="C337">
        <f>Calculs!C337</f>
        <v>1.0485477547448565</v>
      </c>
      <c r="D337">
        <f t="shared" si="10"/>
        <v>-7.1725709734077273E-3</v>
      </c>
      <c r="E337">
        <f t="shared" si="11"/>
        <v>-4.9403632698437885E-3</v>
      </c>
    </row>
    <row r="338" spans="1:5" x14ac:dyDescent="0.35">
      <c r="A338" s="1">
        <f>Calculs!A338</f>
        <v>44676</v>
      </c>
      <c r="B338">
        <f>Calculs!B338</f>
        <v>1893.199951171875</v>
      </c>
      <c r="C338">
        <f>Calculs!C338</f>
        <v>1.0464629297291443</v>
      </c>
      <c r="D338">
        <f t="shared" si="10"/>
        <v>-1.9769510187740744E-2</v>
      </c>
      <c r="E338">
        <f t="shared" si="11"/>
        <v>-1.9902769177873483E-3</v>
      </c>
    </row>
    <row r="339" spans="1:5" x14ac:dyDescent="0.35">
      <c r="A339" s="1">
        <f>Calculs!A339</f>
        <v>44677</v>
      </c>
      <c r="B339">
        <f>Calculs!B339</f>
        <v>1901.4000244140625</v>
      </c>
      <c r="C339">
        <f>Calculs!C339</f>
        <v>1.0435254671795344</v>
      </c>
      <c r="D339">
        <f t="shared" si="10"/>
        <v>4.3219765242018485E-3</v>
      </c>
      <c r="E339">
        <f t="shared" si="11"/>
        <v>-2.8109864037394509E-3</v>
      </c>
    </row>
    <row r="340" spans="1:5" x14ac:dyDescent="0.35">
      <c r="A340" s="1">
        <f>Calculs!A340</f>
        <v>44678</v>
      </c>
      <c r="B340">
        <f>Calculs!B340</f>
        <v>1885.9000244140625</v>
      </c>
      <c r="C340">
        <f>Calculs!C340</f>
        <v>1.0392525406910418</v>
      </c>
      <c r="D340">
        <f t="shared" si="10"/>
        <v>-8.185296301079753E-3</v>
      </c>
      <c r="E340">
        <f t="shared" si="11"/>
        <v>-4.1031088931060677E-3</v>
      </c>
    </row>
    <row r="341" spans="1:5" x14ac:dyDescent="0.35">
      <c r="A341" s="1">
        <f>Calculs!A341</f>
        <v>44679</v>
      </c>
      <c r="B341">
        <f>Calculs!B341</f>
        <v>1888.699951171875</v>
      </c>
      <c r="C341">
        <f>Calculs!C341</f>
        <v>1.0323433048319099</v>
      </c>
      <c r="D341">
        <f t="shared" si="10"/>
        <v>1.4835623851351678E-3</v>
      </c>
      <c r="E341">
        <f t="shared" si="11"/>
        <v>-6.6704724215702295E-3</v>
      </c>
    </row>
    <row r="342" spans="1:5" x14ac:dyDescent="0.35">
      <c r="A342" s="1">
        <f>Calculs!A342</f>
        <v>44680</v>
      </c>
      <c r="B342">
        <f>Calculs!B342</f>
        <v>1909.300048828125</v>
      </c>
      <c r="C342">
        <f>Calculs!C342</f>
        <v>1.0291242018593434</v>
      </c>
      <c r="D342">
        <f t="shared" si="10"/>
        <v>1.0847972444223454E-2</v>
      </c>
      <c r="E342">
        <f t="shared" si="11"/>
        <v>-3.1231203777693319E-3</v>
      </c>
    </row>
    <row r="343" spans="1:5" x14ac:dyDescent="0.35">
      <c r="A343" s="1">
        <f>Calculs!A343</f>
        <v>44683</v>
      </c>
      <c r="B343">
        <f>Calculs!B343</f>
        <v>1861.800048828125</v>
      </c>
      <c r="C343">
        <f>Calculs!C343</f>
        <v>1.0265148486027873</v>
      </c>
      <c r="D343">
        <f t="shared" si="10"/>
        <v>-2.5192920384565429E-2</v>
      </c>
      <c r="E343">
        <f t="shared" si="11"/>
        <v>-2.5387284381860912E-3</v>
      </c>
    </row>
    <row r="344" spans="1:5" x14ac:dyDescent="0.35">
      <c r="A344" s="1">
        <f>Calculs!A344</f>
        <v>44684</v>
      </c>
      <c r="B344">
        <f>Calculs!B344</f>
        <v>1868.800048828125</v>
      </c>
      <c r="C344">
        <f>Calculs!C344</f>
        <v>1.0226621875813946</v>
      </c>
      <c r="D344">
        <f t="shared" si="10"/>
        <v>3.7527518532821575E-3</v>
      </c>
      <c r="E344">
        <f t="shared" si="11"/>
        <v>-3.7602076275609548E-3</v>
      </c>
    </row>
    <row r="345" spans="1:5" x14ac:dyDescent="0.35">
      <c r="A345" s="1">
        <f>Calculs!A345</f>
        <v>44685</v>
      </c>
      <c r="B345">
        <f>Calculs!B345</f>
        <v>1867</v>
      </c>
      <c r="C345">
        <f>Calculs!C345</f>
        <v>1.0217009234834602</v>
      </c>
      <c r="D345">
        <f t="shared" si="10"/>
        <v>-9.6367522024839861E-4</v>
      </c>
      <c r="E345">
        <f t="shared" si="11"/>
        <v>-9.4040453339597283E-4</v>
      </c>
    </row>
    <row r="346" spans="1:5" x14ac:dyDescent="0.35">
      <c r="A346" s="1">
        <f>Calculs!A346</f>
        <v>44686</v>
      </c>
      <c r="B346">
        <f>Calculs!B346</f>
        <v>1874</v>
      </c>
      <c r="C346">
        <f>Calculs!C346</f>
        <v>1.02754856722915</v>
      </c>
      <c r="D346">
        <f t="shared" si="10"/>
        <v>3.7423192566449679E-3</v>
      </c>
      <c r="E346">
        <f t="shared" si="11"/>
        <v>5.7071231631624156E-3</v>
      </c>
    </row>
    <row r="347" spans="1:5" x14ac:dyDescent="0.35">
      <c r="A347" s="1">
        <f>Calculs!A347</f>
        <v>44687</v>
      </c>
      <c r="B347">
        <f>Calculs!B347</f>
        <v>1881.199951171875</v>
      </c>
      <c r="C347">
        <f>Calculs!C347</f>
        <v>1.0150223429695588</v>
      </c>
      <c r="D347">
        <f t="shared" si="10"/>
        <v>3.8346613166858161E-3</v>
      </c>
      <c r="E347">
        <f t="shared" si="11"/>
        <v>-1.2265308618123557E-2</v>
      </c>
    </row>
    <row r="348" spans="1:5" x14ac:dyDescent="0.35">
      <c r="A348" s="1">
        <f>Calculs!A348</f>
        <v>44690</v>
      </c>
      <c r="B348">
        <f>Calculs!B348</f>
        <v>1857.0999755859375</v>
      </c>
      <c r="C348">
        <f>Calculs!C348</f>
        <v>1.0107850831803902</v>
      </c>
      <c r="D348">
        <f t="shared" si="10"/>
        <v>-1.2893727062383077E-2</v>
      </c>
      <c r="E348">
        <f t="shared" si="11"/>
        <v>-4.183286045619225E-3</v>
      </c>
    </row>
    <row r="349" spans="1:5" x14ac:dyDescent="0.35">
      <c r="A349" s="1">
        <f>Calculs!A349</f>
        <v>44691</v>
      </c>
      <c r="B349">
        <f>Calculs!B349</f>
        <v>1839.9000244140625</v>
      </c>
      <c r="C349">
        <f>Calculs!C349</f>
        <v>1.0073537014262965</v>
      </c>
      <c r="D349">
        <f t="shared" si="10"/>
        <v>-9.3048824833891798E-3</v>
      </c>
      <c r="E349">
        <f t="shared" si="11"/>
        <v>-3.4005441913990257E-3</v>
      </c>
    </row>
    <row r="350" spans="1:5" x14ac:dyDescent="0.35">
      <c r="A350" s="1">
        <f>Calculs!A350</f>
        <v>44692</v>
      </c>
      <c r="B350">
        <f>Calculs!B350</f>
        <v>1852.5999755859375</v>
      </c>
      <c r="C350">
        <f>Calculs!C350</f>
        <v>1.0043185681188842</v>
      </c>
      <c r="D350">
        <f t="shared" si="10"/>
        <v>6.8788090723762392E-3</v>
      </c>
      <c r="E350">
        <f t="shared" si="11"/>
        <v>-3.0175249282737935E-3</v>
      </c>
    </row>
    <row r="351" spans="1:5" x14ac:dyDescent="0.35">
      <c r="A351" s="1">
        <f>Calculs!A351</f>
        <v>44693</v>
      </c>
      <c r="B351">
        <f>Calculs!B351</f>
        <v>1823.800048828125</v>
      </c>
      <c r="C351">
        <f>Calculs!C351</f>
        <v>1.0055708760407258</v>
      </c>
      <c r="D351">
        <f t="shared" si="10"/>
        <v>-1.5667781369351496E-2</v>
      </c>
      <c r="E351">
        <f t="shared" si="11"/>
        <v>1.2461462370855012E-3</v>
      </c>
    </row>
    <row r="352" spans="1:5" x14ac:dyDescent="0.35">
      <c r="A352" s="1">
        <f>Calculs!A352</f>
        <v>44694</v>
      </c>
      <c r="B352">
        <f>Calculs!B352</f>
        <v>1807.4000244140625</v>
      </c>
      <c r="C352">
        <f>Calculs!C352</f>
        <v>0.99695930435634172</v>
      </c>
      <c r="D352">
        <f t="shared" si="10"/>
        <v>-9.0329012966146368E-3</v>
      </c>
      <c r="E352">
        <f t="shared" si="11"/>
        <v>-8.6007440524889425E-3</v>
      </c>
    </row>
    <row r="353" spans="1:5" x14ac:dyDescent="0.35">
      <c r="A353" s="1">
        <f>Calculs!A353</f>
        <v>44697</v>
      </c>
      <c r="B353">
        <f>Calculs!B353</f>
        <v>1813.5</v>
      </c>
      <c r="C353">
        <f>Calculs!C353</f>
        <v>0.99777491386964801</v>
      </c>
      <c r="D353">
        <f t="shared" si="10"/>
        <v>3.369317747265814E-3</v>
      </c>
      <c r="E353">
        <f t="shared" si="11"/>
        <v>8.1776263855740398E-4</v>
      </c>
    </row>
    <row r="354" spans="1:5" x14ac:dyDescent="0.35">
      <c r="A354" s="1">
        <f>Calculs!A354</f>
        <v>44698</v>
      </c>
      <c r="B354">
        <f>Calculs!B354</f>
        <v>1818.199951171875</v>
      </c>
      <c r="C354">
        <f>Calculs!C354</f>
        <v>0.99828300152468707</v>
      </c>
      <c r="D354">
        <f t="shared" si="10"/>
        <v>2.5882941096002548E-3</v>
      </c>
      <c r="E354">
        <f t="shared" si="11"/>
        <v>5.0909110611879434E-4</v>
      </c>
    </row>
    <row r="355" spans="1:5" x14ac:dyDescent="0.35">
      <c r="A355" s="1">
        <f>Calculs!A355</f>
        <v>44699</v>
      </c>
      <c r="B355">
        <f>Calculs!B355</f>
        <v>1815.9000244140625</v>
      </c>
      <c r="C355">
        <f>Calculs!C355</f>
        <v>1.0062386955543079</v>
      </c>
      <c r="D355">
        <f t="shared" si="10"/>
        <v>-1.2657478221988101E-3</v>
      </c>
      <c r="E355">
        <f t="shared" si="11"/>
        <v>7.937789662443755E-3</v>
      </c>
    </row>
    <row r="356" spans="1:5" x14ac:dyDescent="0.35">
      <c r="A356" s="1">
        <f>Calculs!A356</f>
        <v>44700</v>
      </c>
      <c r="B356">
        <f>Calculs!B356</f>
        <v>1841.199951171875</v>
      </c>
      <c r="C356">
        <f>Calculs!C356</f>
        <v>1.0130275342253923</v>
      </c>
      <c r="D356">
        <f t="shared" si="10"/>
        <v>1.3836280412998598E-2</v>
      </c>
      <c r="E356">
        <f t="shared" si="11"/>
        <v>6.7240903153950133E-3</v>
      </c>
    </row>
    <row r="357" spans="1:5" x14ac:dyDescent="0.35">
      <c r="A357" s="1">
        <f>Calculs!A357</f>
        <v>44701</v>
      </c>
      <c r="B357">
        <f>Calculs!B357</f>
        <v>1841.800048828125</v>
      </c>
      <c r="C357">
        <f>Calculs!C357</f>
        <v>1.0286160904949788</v>
      </c>
      <c r="D357">
        <f t="shared" si="10"/>
        <v>3.2587437499885286E-4</v>
      </c>
      <c r="E357">
        <f t="shared" si="11"/>
        <v>1.5270891567398073E-2</v>
      </c>
    </row>
    <row r="358" spans="1:5" x14ac:dyDescent="0.35">
      <c r="A358" s="1">
        <f>Calculs!A358</f>
        <v>44704</v>
      </c>
      <c r="B358">
        <f>Calculs!B358</f>
        <v>1847.800048828125</v>
      </c>
      <c r="C358">
        <f>Calculs!C358</f>
        <v>1.0256515343493167</v>
      </c>
      <c r="D358">
        <f t="shared" si="10"/>
        <v>3.2523878632937969E-3</v>
      </c>
      <c r="E358">
        <f t="shared" si="11"/>
        <v>-2.8862434161972123E-3</v>
      </c>
    </row>
    <row r="359" spans="1:5" x14ac:dyDescent="0.35">
      <c r="A359" s="1">
        <f>Calculs!A359</f>
        <v>44705</v>
      </c>
      <c r="B359">
        <f>Calculs!B359</f>
        <v>1865.0999755859375</v>
      </c>
      <c r="C359">
        <f>Calculs!C359</f>
        <v>1.0352502586703947</v>
      </c>
      <c r="D359">
        <f t="shared" si="10"/>
        <v>9.3188891918034658E-3</v>
      </c>
      <c r="E359">
        <f t="shared" si="11"/>
        <v>9.3151393838578067E-3</v>
      </c>
    </row>
    <row r="360" spans="1:5" x14ac:dyDescent="0.35">
      <c r="A360" s="1">
        <f>Calculs!A360</f>
        <v>44706</v>
      </c>
      <c r="B360">
        <f>Calculs!B360</f>
        <v>1846.199951171875</v>
      </c>
      <c r="C360">
        <f>Calculs!C360</f>
        <v>1.0414496852568143</v>
      </c>
      <c r="D360">
        <f t="shared" si="10"/>
        <v>-1.0185211745308859E-2</v>
      </c>
      <c r="E360">
        <f t="shared" si="11"/>
        <v>5.9704773626484678E-3</v>
      </c>
    </row>
    <row r="361" spans="1:5" x14ac:dyDescent="0.35">
      <c r="A361" s="1">
        <f>Calculs!A361</f>
        <v>44707</v>
      </c>
      <c r="B361">
        <f>Calculs!B361</f>
        <v>1847.4000244140625</v>
      </c>
      <c r="C361">
        <f>Calculs!C361</f>
        <v>1.0400091198767254</v>
      </c>
      <c r="D361">
        <f t="shared" si="10"/>
        <v>6.498122657287857E-4</v>
      </c>
      <c r="E361">
        <f t="shared" si="11"/>
        <v>-1.3841884418212768E-3</v>
      </c>
    </row>
    <row r="362" spans="1:5" x14ac:dyDescent="0.35">
      <c r="A362" s="1">
        <f>Calculs!A362</f>
        <v>44708</v>
      </c>
      <c r="B362">
        <f>Calculs!B362</f>
        <v>1851.300048828125</v>
      </c>
      <c r="C362">
        <f>Calculs!C362</f>
        <v>1.0432315248979478</v>
      </c>
      <c r="D362">
        <f t="shared" si="10"/>
        <v>2.1088629963046065E-3</v>
      </c>
      <c r="E362">
        <f t="shared" si="11"/>
        <v>3.0936489256302591E-3</v>
      </c>
    </row>
    <row r="363" spans="1:5" x14ac:dyDescent="0.35">
      <c r="A363" s="1">
        <f>Calculs!A363</f>
        <v>44712</v>
      </c>
      <c r="B363">
        <f>Calculs!B363</f>
        <v>1842.699951171875</v>
      </c>
      <c r="C363">
        <f>Calculs!C363</f>
        <v>1.0435907669064877</v>
      </c>
      <c r="D363">
        <f t="shared" si="10"/>
        <v>-4.656260527504244E-3</v>
      </c>
      <c r="E363">
        <f t="shared" si="11"/>
        <v>3.4429573950738707E-4</v>
      </c>
    </row>
    <row r="364" spans="1:5" x14ac:dyDescent="0.35">
      <c r="A364" s="1">
        <f>Calculs!A364</f>
        <v>44713</v>
      </c>
      <c r="B364">
        <f>Calculs!B364</f>
        <v>1843.300048828125</v>
      </c>
      <c r="C364">
        <f>Calculs!C364</f>
        <v>1.0421877797306685</v>
      </c>
      <c r="D364">
        <f t="shared" si="10"/>
        <v>3.2560914897010034E-4</v>
      </c>
      <c r="E364">
        <f t="shared" si="11"/>
        <v>-1.3452889230981219E-3</v>
      </c>
    </row>
    <row r="365" spans="1:5" x14ac:dyDescent="0.35">
      <c r="A365" s="1">
        <f>Calculs!A365</f>
        <v>44714</v>
      </c>
      <c r="B365">
        <f>Calculs!B365</f>
        <v>1866.5</v>
      </c>
      <c r="C365">
        <f>Calculs!C365</f>
        <v>1.0383137610480713</v>
      </c>
      <c r="D365">
        <f t="shared" si="10"/>
        <v>1.2507549362994801E-2</v>
      </c>
      <c r="E365">
        <f t="shared" si="11"/>
        <v>-3.7241242883924879E-3</v>
      </c>
    </row>
    <row r="366" spans="1:5" x14ac:dyDescent="0.35">
      <c r="A366" s="1">
        <f>Calculs!A366</f>
        <v>44715</v>
      </c>
      <c r="B366">
        <f>Calculs!B366</f>
        <v>1845.4000244140625</v>
      </c>
      <c r="C366">
        <f>Calculs!C366</f>
        <v>1.0444518513086265</v>
      </c>
      <c r="D366">
        <f t="shared" si="10"/>
        <v>-1.1368949980497233E-2</v>
      </c>
      <c r="E366">
        <f t="shared" si="11"/>
        <v>5.894189912349336E-3</v>
      </c>
    </row>
    <row r="367" spans="1:5" x14ac:dyDescent="0.35">
      <c r="A367" s="1">
        <f>Calculs!A367</f>
        <v>44718</v>
      </c>
      <c r="B367">
        <f>Calculs!B367</f>
        <v>1839.199951171875</v>
      </c>
      <c r="C367">
        <f>Calculs!C367</f>
        <v>1.0392201606982736</v>
      </c>
      <c r="D367">
        <f t="shared" si="10"/>
        <v>-3.365401473737211E-3</v>
      </c>
      <c r="E367">
        <f t="shared" si="11"/>
        <v>-5.0216171969540138E-3</v>
      </c>
    </row>
    <row r="368" spans="1:5" x14ac:dyDescent="0.35">
      <c r="A368" s="1">
        <f>Calculs!A368</f>
        <v>44719</v>
      </c>
      <c r="B368">
        <f>Calculs!B368</f>
        <v>1847.5</v>
      </c>
      <c r="C368">
        <f>Calculs!C368</f>
        <v>1.0295480221481605</v>
      </c>
      <c r="D368">
        <f t="shared" si="10"/>
        <v>4.5027059219527876E-3</v>
      </c>
      <c r="E368">
        <f t="shared" si="11"/>
        <v>-9.3506939097506101E-3</v>
      </c>
    </row>
    <row r="369" spans="1:5" x14ac:dyDescent="0.35">
      <c r="A369" s="1">
        <f>Calculs!A369</f>
        <v>44720</v>
      </c>
      <c r="B369">
        <f>Calculs!B369</f>
        <v>1851.9000244140625</v>
      </c>
      <c r="C369">
        <f>Calculs!C369</f>
        <v>1.027231918391678</v>
      </c>
      <c r="D369">
        <f t="shared" si="10"/>
        <v>2.3787784288539122E-3</v>
      </c>
      <c r="E369">
        <f t="shared" si="11"/>
        <v>-2.2521658149415231E-3</v>
      </c>
    </row>
    <row r="370" spans="1:5" x14ac:dyDescent="0.35">
      <c r="A370" s="1">
        <f>Calculs!A370</f>
        <v>44721</v>
      </c>
      <c r="B370">
        <f>Calculs!B370</f>
        <v>1848.800048828125</v>
      </c>
      <c r="C370">
        <f>Calculs!C370</f>
        <v>1.0216174315150031</v>
      </c>
      <c r="D370">
        <f t="shared" si="10"/>
        <v>-1.6753458803278061E-3</v>
      </c>
      <c r="E370">
        <f t="shared" si="11"/>
        <v>-5.480638125625689E-3</v>
      </c>
    </row>
    <row r="371" spans="1:5" x14ac:dyDescent="0.35">
      <c r="A371" s="1">
        <f>Calculs!A371</f>
        <v>44722</v>
      </c>
      <c r="B371">
        <f>Calculs!B371</f>
        <v>1871.5</v>
      </c>
      <c r="C371">
        <f>Calculs!C371</f>
        <v>1.0199918131770156</v>
      </c>
      <c r="D371">
        <f t="shared" si="10"/>
        <v>1.2203441973600668E-2</v>
      </c>
      <c r="E371">
        <f t="shared" si="11"/>
        <v>-1.5924875788680326E-3</v>
      </c>
    </row>
    <row r="372" spans="1:5" x14ac:dyDescent="0.35">
      <c r="A372" s="1">
        <f>Calculs!A372</f>
        <v>44725</v>
      </c>
      <c r="B372">
        <f>Calculs!B372</f>
        <v>1828</v>
      </c>
      <c r="C372">
        <f>Calculs!C372</f>
        <v>1.0106625118612915</v>
      </c>
      <c r="D372">
        <f t="shared" si="10"/>
        <v>-2.3517775330388339E-2</v>
      </c>
      <c r="E372">
        <f t="shared" si="11"/>
        <v>-9.1885328185462804E-3</v>
      </c>
    </row>
    <row r="373" spans="1:5" x14ac:dyDescent="0.35">
      <c r="A373" s="1">
        <f>Calculs!A373</f>
        <v>44726</v>
      </c>
      <c r="B373">
        <f>Calculs!B373</f>
        <v>1809.5</v>
      </c>
      <c r="C373">
        <f>Calculs!C373</f>
        <v>1.0033461585200736</v>
      </c>
      <c r="D373">
        <f t="shared" si="10"/>
        <v>-1.0171909010298149E-2</v>
      </c>
      <c r="E373">
        <f t="shared" si="11"/>
        <v>-7.2654955592544122E-3</v>
      </c>
    </row>
    <row r="374" spans="1:5" x14ac:dyDescent="0.35">
      <c r="A374" s="1">
        <f>Calculs!A374</f>
        <v>44727</v>
      </c>
      <c r="B374">
        <f>Calculs!B374</f>
        <v>1815.300048828125</v>
      </c>
      <c r="C374">
        <f>Calculs!C374</f>
        <v>1.0005002735134665</v>
      </c>
      <c r="D374">
        <f t="shared" si="10"/>
        <v>3.2002061906902602E-3</v>
      </c>
      <c r="E374">
        <f t="shared" si="11"/>
        <v>-2.8404241707328287E-3</v>
      </c>
    </row>
    <row r="375" spans="1:5" x14ac:dyDescent="0.35">
      <c r="A375" s="1">
        <f>Calculs!A375</f>
        <v>44728</v>
      </c>
      <c r="B375">
        <f>Calculs!B375</f>
        <v>1845.699951171875</v>
      </c>
      <c r="C375">
        <f>Calculs!C375</f>
        <v>1.0054090755323544</v>
      </c>
      <c r="D375">
        <f t="shared" si="10"/>
        <v>1.6607812663686532E-2</v>
      </c>
      <c r="E375">
        <f t="shared" si="11"/>
        <v>4.8943506049055271E-3</v>
      </c>
    </row>
    <row r="376" spans="1:5" x14ac:dyDescent="0.35">
      <c r="A376" s="1">
        <f>Calculs!A376</f>
        <v>44729</v>
      </c>
      <c r="B376">
        <f>Calculs!B376</f>
        <v>1835.5999755859375</v>
      </c>
      <c r="C376">
        <f>Calculs!C376</f>
        <v>1.0344042735507522</v>
      </c>
      <c r="D376">
        <f t="shared" si="10"/>
        <v>-5.4871926378129796E-3</v>
      </c>
      <c r="E376">
        <f t="shared" si="11"/>
        <v>2.8431180873253675E-2</v>
      </c>
    </row>
    <row r="377" spans="1:5" x14ac:dyDescent="0.35">
      <c r="A377" s="1">
        <f>Calculs!A377</f>
        <v>44733</v>
      </c>
      <c r="B377">
        <f>Calculs!B377</f>
        <v>1834.5999755859375</v>
      </c>
      <c r="C377">
        <f>Calculs!C377</f>
        <v>1.0340192068582503</v>
      </c>
      <c r="D377">
        <f t="shared" si="10"/>
        <v>-5.4492945237295516E-4</v>
      </c>
      <c r="E377">
        <f t="shared" si="11"/>
        <v>-3.7232868471806117E-4</v>
      </c>
    </row>
    <row r="378" spans="1:5" x14ac:dyDescent="0.35">
      <c r="A378" s="1">
        <f>Calculs!A378</f>
        <v>44734</v>
      </c>
      <c r="B378">
        <f>Calculs!B378</f>
        <v>1834.300048828125</v>
      </c>
      <c r="C378">
        <f>Calculs!C378</f>
        <v>1.0351752679654616</v>
      </c>
      <c r="D378">
        <f t="shared" si="10"/>
        <v>-1.6349682819632593E-4</v>
      </c>
      <c r="E378">
        <f t="shared" si="11"/>
        <v>1.1174021983571484E-3</v>
      </c>
    </row>
    <row r="379" spans="1:5" x14ac:dyDescent="0.35">
      <c r="A379" s="1">
        <f>Calculs!A379</f>
        <v>44735</v>
      </c>
      <c r="B379">
        <f>Calculs!B379</f>
        <v>1825.699951171875</v>
      </c>
      <c r="C379">
        <f>Calculs!C379</f>
        <v>1.0397712817716627</v>
      </c>
      <c r="D379">
        <f t="shared" si="10"/>
        <v>-4.6995155652061176E-3</v>
      </c>
      <c r="E379">
        <f t="shared" si="11"/>
        <v>4.4300141834384488E-3</v>
      </c>
    </row>
    <row r="380" spans="1:5" x14ac:dyDescent="0.35">
      <c r="A380" s="1">
        <f>Calculs!A380</f>
        <v>44736</v>
      </c>
      <c r="B380">
        <f>Calculs!B380</f>
        <v>1826.5</v>
      </c>
      <c r="C380">
        <f>Calculs!C380</f>
        <v>1.0401930839365554</v>
      </c>
      <c r="D380">
        <f t="shared" si="10"/>
        <v>4.3811886075170113E-4</v>
      </c>
      <c r="E380">
        <f t="shared" si="11"/>
        <v>4.0558595871068731E-4</v>
      </c>
    </row>
    <row r="381" spans="1:5" x14ac:dyDescent="0.35">
      <c r="A381" s="1">
        <f>Calculs!A381</f>
        <v>44739</v>
      </c>
      <c r="B381">
        <f>Calculs!B381</f>
        <v>1820.9000244140625</v>
      </c>
      <c r="C381">
        <f>Calculs!C381</f>
        <v>1.0446155360604399</v>
      </c>
      <c r="D381">
        <f t="shared" si="10"/>
        <v>-3.0706694898497379E-3</v>
      </c>
      <c r="E381">
        <f t="shared" si="11"/>
        <v>4.2425560935203891E-3</v>
      </c>
    </row>
    <row r="382" spans="1:5" x14ac:dyDescent="0.35">
      <c r="A382" s="1">
        <f>Calculs!A382</f>
        <v>44740</v>
      </c>
      <c r="B382">
        <f>Calculs!B382</f>
        <v>1817.5</v>
      </c>
      <c r="C382">
        <f>Calculs!C382</f>
        <v>1.0458500571915588</v>
      </c>
      <c r="D382">
        <f t="shared" si="10"/>
        <v>-1.8689673378129851E-3</v>
      </c>
      <c r="E382">
        <f t="shared" si="11"/>
        <v>1.1810969562147879E-3</v>
      </c>
    </row>
    <row r="383" spans="1:5" x14ac:dyDescent="0.35">
      <c r="A383" s="1">
        <f>Calculs!A383</f>
        <v>44741</v>
      </c>
      <c r="B383">
        <f>Calculs!B383</f>
        <v>1813.699951171875</v>
      </c>
      <c r="C383">
        <f>Calculs!C383</f>
        <v>1.0452706581905531</v>
      </c>
      <c r="D383">
        <f t="shared" si="10"/>
        <v>-2.0929997061282998E-3</v>
      </c>
      <c r="E383">
        <f t="shared" si="11"/>
        <v>-5.5415166763995386E-4</v>
      </c>
    </row>
    <row r="384" spans="1:5" x14ac:dyDescent="0.35">
      <c r="A384" s="1">
        <f>Calculs!A384</f>
        <v>44742</v>
      </c>
      <c r="B384">
        <f>Calculs!B384</f>
        <v>1804.0999755859375</v>
      </c>
      <c r="C384">
        <f>Calculs!C384</f>
        <v>1.0480202872426896</v>
      </c>
      <c r="D384">
        <f t="shared" si="10"/>
        <v>-5.3070917753328907E-3</v>
      </c>
      <c r="E384">
        <f t="shared" si="11"/>
        <v>2.6270888330523286E-3</v>
      </c>
    </row>
    <row r="385" spans="1:5" x14ac:dyDescent="0.35">
      <c r="A385" s="1">
        <f>Calculs!A385</f>
        <v>44743</v>
      </c>
      <c r="B385">
        <f>Calculs!B385</f>
        <v>1798.9000244140625</v>
      </c>
      <c r="C385">
        <f>Calculs!C385</f>
        <v>1.0470217616337147</v>
      </c>
      <c r="D385">
        <f t="shared" si="10"/>
        <v>-2.8864583859110646E-3</v>
      </c>
      <c r="E385">
        <f t="shared" si="11"/>
        <v>-9.5322734464341966E-4</v>
      </c>
    </row>
    <row r="386" spans="1:5" x14ac:dyDescent="0.35">
      <c r="A386" s="1">
        <f>Calculs!A386</f>
        <v>44747</v>
      </c>
      <c r="B386">
        <f>Calculs!B386</f>
        <v>1761.800048828125</v>
      </c>
      <c r="C386">
        <f>Calculs!C386</f>
        <v>1.0407668660125911</v>
      </c>
      <c r="D386">
        <f t="shared" si="10"/>
        <v>-2.0839339149699231E-2</v>
      </c>
      <c r="E386">
        <f t="shared" si="11"/>
        <v>-5.9919038281613518E-3</v>
      </c>
    </row>
    <row r="387" spans="1:5" x14ac:dyDescent="0.35">
      <c r="A387" s="1">
        <f>Calculs!A387</f>
        <v>44748</v>
      </c>
      <c r="B387">
        <f>Calculs!B387</f>
        <v>1734.9000244140625</v>
      </c>
      <c r="C387">
        <f>Calculs!C387</f>
        <v>1.0325266636715553</v>
      </c>
      <c r="D387">
        <f t="shared" si="10"/>
        <v>-1.5386252486003978E-2</v>
      </c>
      <c r="E387">
        <f t="shared" si="11"/>
        <v>-7.9489426958448441E-3</v>
      </c>
    </row>
    <row r="388" spans="1:5" x14ac:dyDescent="0.35">
      <c r="A388" s="1">
        <f>Calculs!A388</f>
        <v>44749</v>
      </c>
      <c r="B388">
        <f>Calculs!B388</f>
        <v>1737.9000244140625</v>
      </c>
      <c r="C388">
        <f>Calculs!C388</f>
        <v>1.0307153140993368</v>
      </c>
      <c r="D388">
        <f t="shared" ref="D388:D451" si="12">LN(B388/B387)</f>
        <v>1.7277129141139384E-3</v>
      </c>
      <c r="E388">
        <f t="shared" ref="E388:E451" si="13">LN(C388/C387)</f>
        <v>-1.7558289886400692E-3</v>
      </c>
    </row>
    <row r="389" spans="1:5" x14ac:dyDescent="0.35">
      <c r="A389" s="1">
        <f>Calculs!A389</f>
        <v>44750</v>
      </c>
      <c r="B389">
        <f>Calculs!B389</f>
        <v>1740.5999755859375</v>
      </c>
      <c r="C389">
        <f>Calculs!C389</f>
        <v>1.026904904884441</v>
      </c>
      <c r="D389">
        <f t="shared" si="12"/>
        <v>1.5523655104664287E-3</v>
      </c>
      <c r="E389">
        <f t="shared" si="13"/>
        <v>-3.7037093001923509E-3</v>
      </c>
    </row>
    <row r="390" spans="1:5" x14ac:dyDescent="0.35">
      <c r="A390" s="1">
        <f>Calculs!A390</f>
        <v>44753</v>
      </c>
      <c r="B390">
        <f>Calculs!B390</f>
        <v>1730</v>
      </c>
      <c r="C390">
        <f>Calculs!C390</f>
        <v>1.0227772742632451</v>
      </c>
      <c r="D390">
        <f t="shared" si="12"/>
        <v>-6.1084588373548371E-3</v>
      </c>
      <c r="E390">
        <f t="shared" si="13"/>
        <v>-4.0275865623142088E-3</v>
      </c>
    </row>
    <row r="391" spans="1:5" x14ac:dyDescent="0.35">
      <c r="A391" s="1">
        <f>Calculs!A391</f>
        <v>44754</v>
      </c>
      <c r="B391">
        <f>Calculs!B391</f>
        <v>1723.300048828125</v>
      </c>
      <c r="C391">
        <f>Calculs!C391</f>
        <v>1.0175631553355631</v>
      </c>
      <c r="D391">
        <f t="shared" si="12"/>
        <v>-3.880322870210738E-3</v>
      </c>
      <c r="E391">
        <f t="shared" si="13"/>
        <v>-5.1110395134258673E-3</v>
      </c>
    </row>
    <row r="392" spans="1:5" x14ac:dyDescent="0.35">
      <c r="A392" s="1">
        <f>Calculs!A392</f>
        <v>44755</v>
      </c>
      <c r="B392">
        <f>Calculs!B392</f>
        <v>1734.199951171875</v>
      </c>
      <c r="C392">
        <f>Calculs!C392</f>
        <v>1.018464770781601</v>
      </c>
      <c r="D392">
        <f t="shared" si="12"/>
        <v>6.3050981654516405E-3</v>
      </c>
      <c r="E392">
        <f t="shared" si="13"/>
        <v>8.8566123618223289E-4</v>
      </c>
    </row>
    <row r="393" spans="1:5" x14ac:dyDescent="0.35">
      <c r="A393" s="1">
        <f>Calculs!A393</f>
        <v>44756</v>
      </c>
      <c r="B393">
        <f>Calculs!B393</f>
        <v>1704.5</v>
      </c>
      <c r="C393">
        <f>Calculs!C393</f>
        <v>1.0195758844997109</v>
      </c>
      <c r="D393">
        <f t="shared" si="12"/>
        <v>-1.7274371209107783E-2</v>
      </c>
      <c r="E393">
        <f t="shared" si="13"/>
        <v>1.0903745470589997E-3</v>
      </c>
    </row>
    <row r="394" spans="1:5" x14ac:dyDescent="0.35">
      <c r="A394" s="1">
        <f>Calculs!A394</f>
        <v>44757</v>
      </c>
      <c r="B394">
        <f>Calculs!B394</f>
        <v>1702.4000244140625</v>
      </c>
      <c r="C394">
        <f>Calculs!C394</f>
        <v>1.0172940181977896</v>
      </c>
      <c r="D394">
        <f t="shared" si="12"/>
        <v>-1.2327780896654707E-3</v>
      </c>
      <c r="E394">
        <f t="shared" si="13"/>
        <v>-2.2405625941086839E-3</v>
      </c>
    </row>
    <row r="395" spans="1:5" x14ac:dyDescent="0.35">
      <c r="A395" s="1">
        <f>Calculs!A395</f>
        <v>44760</v>
      </c>
      <c r="B395">
        <f>Calculs!B395</f>
        <v>1709.199951171875</v>
      </c>
      <c r="C395">
        <f>Calculs!C395</f>
        <v>1.0250102456938148</v>
      </c>
      <c r="D395">
        <f t="shared" si="12"/>
        <v>3.9863617137530982E-3</v>
      </c>
      <c r="E395">
        <f t="shared" si="13"/>
        <v>7.5564296158600625E-3</v>
      </c>
    </row>
    <row r="396" spans="1:5" x14ac:dyDescent="0.35">
      <c r="A396" s="1">
        <f>Calculs!A396</f>
        <v>44761</v>
      </c>
      <c r="B396">
        <f>Calculs!B396</f>
        <v>1710</v>
      </c>
      <c r="C396">
        <f>Calculs!C396</f>
        <v>1.0230178803564376</v>
      </c>
      <c r="D396">
        <f t="shared" si="12"/>
        <v>4.6797429466019519E-4</v>
      </c>
      <c r="E396">
        <f t="shared" si="13"/>
        <v>-1.9456431682238291E-3</v>
      </c>
    </row>
    <row r="397" spans="1:5" x14ac:dyDescent="0.35">
      <c r="A397" s="1">
        <f>Calculs!A397</f>
        <v>44762</v>
      </c>
      <c r="B397">
        <f>Calculs!B397</f>
        <v>1699.5</v>
      </c>
      <c r="C397">
        <f>Calculs!C397</f>
        <v>1.0322047805902472</v>
      </c>
      <c r="D397">
        <f t="shared" si="12"/>
        <v>-6.159280360534849E-3</v>
      </c>
      <c r="E397">
        <f t="shared" si="13"/>
        <v>8.9401130080523951E-3</v>
      </c>
    </row>
    <row r="398" spans="1:5" x14ac:dyDescent="0.35">
      <c r="A398" s="1">
        <f>Calculs!A398</f>
        <v>44763</v>
      </c>
      <c r="B398">
        <f>Calculs!B398</f>
        <v>1712.699951171875</v>
      </c>
      <c r="C398">
        <f>Calculs!C398</f>
        <v>1.0293678669320643</v>
      </c>
      <c r="D398">
        <f t="shared" si="12"/>
        <v>7.736953992708003E-3</v>
      </c>
      <c r="E398">
        <f t="shared" si="13"/>
        <v>-2.752185766804869E-3</v>
      </c>
    </row>
    <row r="399" spans="1:5" x14ac:dyDescent="0.35">
      <c r="A399" s="1">
        <f>Calculs!A399</f>
        <v>44764</v>
      </c>
      <c r="B399">
        <f>Calculs!B399</f>
        <v>1727.0999755859375</v>
      </c>
      <c r="C399">
        <f>Calculs!C399</f>
        <v>1.0349824116328132</v>
      </c>
      <c r="D399">
        <f t="shared" si="12"/>
        <v>8.3726430851239868E-3</v>
      </c>
      <c r="E399">
        <f t="shared" si="13"/>
        <v>5.4395405691737859E-3</v>
      </c>
    </row>
    <row r="400" spans="1:5" x14ac:dyDescent="0.35">
      <c r="A400" s="1">
        <f>Calculs!A400</f>
        <v>44767</v>
      </c>
      <c r="B400">
        <f>Calculs!B400</f>
        <v>1719</v>
      </c>
      <c r="C400">
        <f>Calculs!C400</f>
        <v>1.0384215996834454</v>
      </c>
      <c r="D400">
        <f t="shared" si="12"/>
        <v>-4.7009608311534817E-3</v>
      </c>
      <c r="E400">
        <f t="shared" si="13"/>
        <v>3.3174346977146089E-3</v>
      </c>
    </row>
    <row r="401" spans="1:5" x14ac:dyDescent="0.35">
      <c r="A401" s="1">
        <f>Calculs!A401</f>
        <v>44768</v>
      </c>
      <c r="B401">
        <f>Calculs!B401</f>
        <v>1717.699951171875</v>
      </c>
      <c r="C401">
        <f>Calculs!C401</f>
        <v>1.0370324034302665</v>
      </c>
      <c r="D401">
        <f t="shared" si="12"/>
        <v>-7.5656816632680899E-4</v>
      </c>
      <c r="E401">
        <f t="shared" si="13"/>
        <v>-1.3386916390911495E-3</v>
      </c>
    </row>
    <row r="402" spans="1:5" x14ac:dyDescent="0.35">
      <c r="A402" s="1">
        <f>Calculs!A402</f>
        <v>44769</v>
      </c>
      <c r="B402">
        <f>Calculs!B402</f>
        <v>1719.0999755859375</v>
      </c>
      <c r="C402">
        <f>Calculs!C402</f>
        <v>1.0392417900521986</v>
      </c>
      <c r="D402">
        <f t="shared" si="12"/>
        <v>8.1472562927188393E-4</v>
      </c>
      <c r="E402">
        <f t="shared" si="13"/>
        <v>2.1282232017219719E-3</v>
      </c>
    </row>
    <row r="403" spans="1:5" x14ac:dyDescent="0.35">
      <c r="A403" s="1">
        <f>Calculs!A403</f>
        <v>44770</v>
      </c>
      <c r="B403">
        <f>Calculs!B403</f>
        <v>1750.300048828125</v>
      </c>
      <c r="C403">
        <f>Calculs!C403</f>
        <v>1.0436343262381171</v>
      </c>
      <c r="D403">
        <f t="shared" si="12"/>
        <v>1.7986345847998488E-2</v>
      </c>
      <c r="E403">
        <f t="shared" si="13"/>
        <v>4.2177666384806377E-3</v>
      </c>
    </row>
    <row r="404" spans="1:5" x14ac:dyDescent="0.35">
      <c r="A404" s="1">
        <f>Calculs!A404</f>
        <v>44771</v>
      </c>
      <c r="B404">
        <f>Calculs!B404</f>
        <v>1762.9000244140625</v>
      </c>
      <c r="C404">
        <f>Calculs!C404</f>
        <v>1.0477567851636003</v>
      </c>
      <c r="D404">
        <f t="shared" si="12"/>
        <v>7.1729644467121373E-3</v>
      </c>
      <c r="E404">
        <f t="shared" si="13"/>
        <v>3.942317859374999E-3</v>
      </c>
    </row>
    <row r="405" spans="1:5" x14ac:dyDescent="0.35">
      <c r="A405" s="1">
        <f>Calculs!A405</f>
        <v>44774</v>
      </c>
      <c r="B405">
        <f>Calculs!B405</f>
        <v>1769</v>
      </c>
      <c r="C405">
        <f>Calculs!C405</f>
        <v>1.0492408908370123</v>
      </c>
      <c r="D405">
        <f t="shared" si="12"/>
        <v>3.454221019280375E-3</v>
      </c>
      <c r="E405">
        <f t="shared" si="13"/>
        <v>1.4154578597616986E-3</v>
      </c>
    </row>
    <row r="406" spans="1:5" x14ac:dyDescent="0.35">
      <c r="A406" s="1">
        <f>Calculs!A406</f>
        <v>44775</v>
      </c>
      <c r="B406">
        <f>Calculs!B406</f>
        <v>1771.0999755859375</v>
      </c>
      <c r="C406">
        <f>Calculs!C406</f>
        <v>1.052520782108795</v>
      </c>
      <c r="D406">
        <f t="shared" si="12"/>
        <v>1.186393518112395E-3</v>
      </c>
      <c r="E406">
        <f t="shared" si="13"/>
        <v>3.121090251581804E-3</v>
      </c>
    </row>
    <row r="407" spans="1:5" x14ac:dyDescent="0.35">
      <c r="A407" s="1">
        <f>Calculs!A407</f>
        <v>44776</v>
      </c>
      <c r="B407">
        <f>Calculs!B407</f>
        <v>1758</v>
      </c>
      <c r="C407">
        <f>Calculs!C407</f>
        <v>1.0433185872241542</v>
      </c>
      <c r="D407">
        <f t="shared" si="12"/>
        <v>-7.4240094327752458E-3</v>
      </c>
      <c r="E407">
        <f t="shared" si="13"/>
        <v>-8.7814497178985654E-3</v>
      </c>
    </row>
    <row r="408" spans="1:5" x14ac:dyDescent="0.35">
      <c r="A408" s="1">
        <f>Calculs!A408</f>
        <v>44777</v>
      </c>
      <c r="B408">
        <f>Calculs!B408</f>
        <v>1788.5</v>
      </c>
      <c r="C408">
        <f>Calculs!C408</f>
        <v>1.040377048574447</v>
      </c>
      <c r="D408">
        <f t="shared" si="12"/>
        <v>1.7200480453950031E-2</v>
      </c>
      <c r="E408">
        <f t="shared" si="13"/>
        <v>-2.8233879777973805E-3</v>
      </c>
    </row>
    <row r="409" spans="1:5" x14ac:dyDescent="0.35">
      <c r="A409" s="1">
        <f>Calculs!A409</f>
        <v>44778</v>
      </c>
      <c r="B409">
        <f>Calculs!B409</f>
        <v>1772.9000244140625</v>
      </c>
      <c r="C409">
        <f>Calculs!C409</f>
        <v>1.0481301516367476</v>
      </c>
      <c r="D409">
        <f t="shared" si="12"/>
        <v>-8.760642024044224E-3</v>
      </c>
      <c r="E409">
        <f t="shared" si="13"/>
        <v>7.4245745256260043E-3</v>
      </c>
    </row>
    <row r="410" spans="1:5" x14ac:dyDescent="0.35">
      <c r="A410" s="1">
        <f>Calculs!A410</f>
        <v>44781</v>
      </c>
      <c r="B410">
        <f>Calculs!B410</f>
        <v>1786.800048828125</v>
      </c>
      <c r="C410">
        <f>Calculs!C410</f>
        <v>1.0392417900521986</v>
      </c>
      <c r="D410">
        <f t="shared" si="12"/>
        <v>7.8097001300701154E-3</v>
      </c>
      <c r="E410">
        <f t="shared" si="13"/>
        <v>-8.5163694391290606E-3</v>
      </c>
    </row>
    <row r="411" spans="1:5" x14ac:dyDescent="0.35">
      <c r="A411" s="1">
        <f>Calculs!A411</f>
        <v>44782</v>
      </c>
      <c r="B411">
        <f>Calculs!B411</f>
        <v>1794</v>
      </c>
      <c r="C411">
        <f>Calculs!C411</f>
        <v>1.0472520116442787</v>
      </c>
      <c r="D411">
        <f t="shared" si="12"/>
        <v>4.0214258136430751E-3</v>
      </c>
      <c r="E411">
        <f t="shared" si="13"/>
        <v>7.6782024839389482E-3</v>
      </c>
    </row>
    <row r="412" spans="1:5" x14ac:dyDescent="0.35">
      <c r="A412" s="1">
        <f>Calculs!A412</f>
        <v>44783</v>
      </c>
      <c r="B412">
        <f>Calculs!B412</f>
        <v>1795.5999755859375</v>
      </c>
      <c r="C412">
        <f>Calculs!C412</f>
        <v>1.0480312857392371</v>
      </c>
      <c r="D412">
        <f t="shared" si="12"/>
        <v>8.9145069243134155E-4</v>
      </c>
      <c r="E412">
        <f t="shared" si="13"/>
        <v>7.4383653214070357E-4</v>
      </c>
    </row>
    <row r="413" spans="1:5" x14ac:dyDescent="0.35">
      <c r="A413" s="1">
        <f>Calculs!A413</f>
        <v>44784</v>
      </c>
      <c r="B413">
        <f>Calculs!B413</f>
        <v>1789.699951171875</v>
      </c>
      <c r="C413">
        <f>Calculs!C413</f>
        <v>1.0612331285429197</v>
      </c>
      <c r="D413">
        <f t="shared" si="12"/>
        <v>-3.291233570665182E-3</v>
      </c>
      <c r="E413">
        <f t="shared" si="13"/>
        <v>1.2518122537539578E-2</v>
      </c>
    </row>
    <row r="414" spans="1:5" x14ac:dyDescent="0.35">
      <c r="A414" s="1">
        <f>Calculs!A414</f>
        <v>44785</v>
      </c>
      <c r="B414">
        <f>Calculs!B414</f>
        <v>1798.5999755859375</v>
      </c>
      <c r="C414">
        <f>Calculs!C414</f>
        <v>1.0623379911097062</v>
      </c>
      <c r="D414">
        <f t="shared" si="12"/>
        <v>4.9605901659817552E-3</v>
      </c>
      <c r="E414">
        <f t="shared" si="13"/>
        <v>1.0405704393468304E-3</v>
      </c>
    </row>
    <row r="415" spans="1:5" x14ac:dyDescent="0.35">
      <c r="A415" s="1">
        <f>Calculs!A415</f>
        <v>44788</v>
      </c>
      <c r="B415">
        <f>Calculs!B415</f>
        <v>1781.4000244140625</v>
      </c>
      <c r="C415">
        <f>Calculs!C415</f>
        <v>1.0617965617144771</v>
      </c>
      <c r="D415">
        <f t="shared" si="12"/>
        <v>-9.6089852037341862E-3</v>
      </c>
      <c r="E415">
        <f t="shared" si="13"/>
        <v>-5.0978823938895902E-4</v>
      </c>
    </row>
    <row r="416" spans="1:5" x14ac:dyDescent="0.35">
      <c r="A416" s="1">
        <f>Calculs!A416</f>
        <v>44789</v>
      </c>
      <c r="B416">
        <f>Calculs!B416</f>
        <v>1773.199951171875</v>
      </c>
      <c r="C416">
        <f>Calculs!C416</f>
        <v>1.0571271677302176</v>
      </c>
      <c r="D416">
        <f t="shared" si="12"/>
        <v>-4.6137893685845414E-3</v>
      </c>
      <c r="E416">
        <f t="shared" si="13"/>
        <v>-4.4073332869809852E-3</v>
      </c>
    </row>
    <row r="417" spans="1:5" x14ac:dyDescent="0.35">
      <c r="A417" s="1">
        <f>Calculs!A417</f>
        <v>44790</v>
      </c>
      <c r="B417">
        <f>Calculs!B417</f>
        <v>1760.300048828125</v>
      </c>
      <c r="C417">
        <f>Calculs!C417</f>
        <v>1.0530084415958147</v>
      </c>
      <c r="D417">
        <f t="shared" si="12"/>
        <v>-7.3015195437198168E-3</v>
      </c>
      <c r="E417">
        <f t="shared" si="13"/>
        <v>-3.9037598785161931E-3</v>
      </c>
    </row>
    <row r="418" spans="1:5" x14ac:dyDescent="0.35">
      <c r="A418" s="1">
        <f>Calculs!A418</f>
        <v>44791</v>
      </c>
      <c r="B418">
        <f>Calculs!B418</f>
        <v>1755.300048828125</v>
      </c>
      <c r="C418">
        <f>Calculs!C418</f>
        <v>1.0511488839839664</v>
      </c>
      <c r="D418">
        <f t="shared" si="12"/>
        <v>-2.8444665106128978E-3</v>
      </c>
      <c r="E418">
        <f t="shared" si="13"/>
        <v>-1.7675086110342738E-3</v>
      </c>
    </row>
    <row r="419" spans="1:5" x14ac:dyDescent="0.35">
      <c r="A419" s="1">
        <f>Calculs!A419</f>
        <v>44792</v>
      </c>
      <c r="B419">
        <f>Calculs!B419</f>
        <v>1747.5999755859375</v>
      </c>
      <c r="C419">
        <f>Calculs!C419</f>
        <v>1.0453799468213338</v>
      </c>
      <c r="D419">
        <f t="shared" si="12"/>
        <v>-4.3964061726091304E-3</v>
      </c>
      <c r="E419">
        <f t="shared" si="13"/>
        <v>-5.503336408292852E-3</v>
      </c>
    </row>
    <row r="420" spans="1:5" x14ac:dyDescent="0.35">
      <c r="A420" s="1">
        <f>Calculs!A420</f>
        <v>44795</v>
      </c>
      <c r="B420">
        <f>Calculs!B420</f>
        <v>1734</v>
      </c>
      <c r="C420">
        <f>Calculs!C420</f>
        <v>1.0429703602419371</v>
      </c>
      <c r="D420">
        <f t="shared" si="12"/>
        <v>-7.8125257667417299E-3</v>
      </c>
      <c r="E420">
        <f t="shared" si="13"/>
        <v>-2.3076469886761713E-3</v>
      </c>
    </row>
    <row r="421" spans="1:5" x14ac:dyDescent="0.35">
      <c r="A421" s="1">
        <f>Calculs!A421</f>
        <v>44796</v>
      </c>
      <c r="B421">
        <f>Calculs!B421</f>
        <v>1746.800048828125</v>
      </c>
      <c r="C421">
        <f>Calculs!C421</f>
        <v>1.0369141505840531</v>
      </c>
      <c r="D421">
        <f t="shared" si="12"/>
        <v>7.3546922238179342E-3</v>
      </c>
      <c r="E421">
        <f t="shared" si="13"/>
        <v>-5.8236183234949886E-3</v>
      </c>
    </row>
    <row r="422" spans="1:5" x14ac:dyDescent="0.35">
      <c r="A422" s="1">
        <f>Calculs!A422</f>
        <v>44797</v>
      </c>
      <c r="B422">
        <f>Calculs!B422</f>
        <v>1747.800048828125</v>
      </c>
      <c r="C422">
        <f>Calculs!C422</f>
        <v>1.036935619964187</v>
      </c>
      <c r="D422">
        <f t="shared" si="12"/>
        <v>5.7231156604490056E-4</v>
      </c>
      <c r="E422">
        <f t="shared" si="13"/>
        <v>2.0704855712796662E-5</v>
      </c>
    </row>
    <row r="423" spans="1:5" x14ac:dyDescent="0.35">
      <c r="A423" s="1">
        <f>Calculs!A423</f>
        <v>44798</v>
      </c>
      <c r="B423">
        <f>Calculs!B423</f>
        <v>1757.699951171875</v>
      </c>
      <c r="C423">
        <f>Calculs!C423</f>
        <v>1.0347039823841711</v>
      </c>
      <c r="D423">
        <f t="shared" si="12"/>
        <v>5.6482263089466384E-3</v>
      </c>
      <c r="E423">
        <f t="shared" si="13"/>
        <v>-2.1544659029558901E-3</v>
      </c>
    </row>
    <row r="424" spans="1:5" x14ac:dyDescent="0.35">
      <c r="A424" s="1">
        <f>Calculs!A424</f>
        <v>44799</v>
      </c>
      <c r="B424">
        <f>Calculs!B424</f>
        <v>1736.0999755859375</v>
      </c>
      <c r="C424">
        <f>Calculs!C424</f>
        <v>1.0377211770576824</v>
      </c>
      <c r="D424">
        <f t="shared" si="12"/>
        <v>-1.2364904253983925E-2</v>
      </c>
      <c r="E424">
        <f t="shared" si="13"/>
        <v>2.9117546575731438E-3</v>
      </c>
    </row>
    <row r="425" spans="1:5" x14ac:dyDescent="0.35">
      <c r="A425" s="1">
        <f>Calculs!A425</f>
        <v>44802</v>
      </c>
      <c r="B425">
        <f>Calculs!B425</f>
        <v>1736.5999755859375</v>
      </c>
      <c r="C425">
        <f>Calculs!C425</f>
        <v>1.0325245031397523</v>
      </c>
      <c r="D425">
        <f t="shared" si="12"/>
        <v>2.8796038269078751E-4</v>
      </c>
      <c r="E425">
        <f t="shared" si="13"/>
        <v>-5.0203556827756301E-3</v>
      </c>
    </row>
    <row r="426" spans="1:5" x14ac:dyDescent="0.35">
      <c r="A426" s="1">
        <f>Calculs!A426</f>
        <v>44803</v>
      </c>
      <c r="B426">
        <f>Calculs!B426</f>
        <v>1723.199951171875</v>
      </c>
      <c r="C426">
        <f>Calculs!C426</f>
        <v>1.0339978580736184</v>
      </c>
      <c r="D426">
        <f t="shared" si="12"/>
        <v>-7.746165501607033E-3</v>
      </c>
      <c r="E426">
        <f t="shared" si="13"/>
        <v>1.4259271626219569E-3</v>
      </c>
    </row>
    <row r="427" spans="1:5" x14ac:dyDescent="0.35">
      <c r="A427" s="1">
        <f>Calculs!A427</f>
        <v>44804</v>
      </c>
      <c r="B427">
        <f>Calculs!B427</f>
        <v>1712.800048828125</v>
      </c>
      <c r="C427">
        <f>Calculs!C427</f>
        <v>1.0267783931446335</v>
      </c>
      <c r="D427">
        <f t="shared" si="12"/>
        <v>-6.0535122831442351E-3</v>
      </c>
      <c r="E427">
        <f t="shared" si="13"/>
        <v>-7.0065777006143052E-3</v>
      </c>
    </row>
    <row r="428" spans="1:5" x14ac:dyDescent="0.35">
      <c r="A428" s="1">
        <f>Calculs!A428</f>
        <v>44805</v>
      </c>
      <c r="B428">
        <f>Calculs!B428</f>
        <v>1696.5999755859375</v>
      </c>
      <c r="C428">
        <f>Calculs!C428</f>
        <v>1.0213774214634068</v>
      </c>
      <c r="D428">
        <f t="shared" si="12"/>
        <v>-9.5032527996111969E-3</v>
      </c>
      <c r="E428">
        <f t="shared" si="13"/>
        <v>-5.273997380202752E-3</v>
      </c>
    </row>
    <row r="429" spans="1:5" x14ac:dyDescent="0.35">
      <c r="A429" s="1">
        <f>Calculs!A429</f>
        <v>44806</v>
      </c>
      <c r="B429">
        <f>Calculs!B429</f>
        <v>1709.800048828125</v>
      </c>
      <c r="C429">
        <f>Calculs!C429</f>
        <v>1.0190667565473148</v>
      </c>
      <c r="D429">
        <f t="shared" si="12"/>
        <v>7.7501991662910705E-3</v>
      </c>
      <c r="E429">
        <f t="shared" si="13"/>
        <v>-2.264865590275483E-3</v>
      </c>
    </row>
    <row r="430" spans="1:5" x14ac:dyDescent="0.35">
      <c r="A430" s="1">
        <f>Calculs!A430</f>
        <v>44810</v>
      </c>
      <c r="B430">
        <f>Calculs!B430</f>
        <v>1700.4000244140625</v>
      </c>
      <c r="C430">
        <f>Calculs!C430</f>
        <v>1.0220768685483637</v>
      </c>
      <c r="D430">
        <f t="shared" si="12"/>
        <v>-5.5129013074622065E-3</v>
      </c>
      <c r="E430">
        <f t="shared" si="13"/>
        <v>2.9494388794276101E-3</v>
      </c>
    </row>
    <row r="431" spans="1:5" x14ac:dyDescent="0.35">
      <c r="A431" s="1">
        <f>Calculs!A431</f>
        <v>44811</v>
      </c>
      <c r="B431">
        <f>Calculs!B431</f>
        <v>1715.300048828125</v>
      </c>
      <c r="C431">
        <f>Calculs!C431</f>
        <v>1.0157233795297778</v>
      </c>
      <c r="D431">
        <f t="shared" si="12"/>
        <v>8.7244890395395108E-3</v>
      </c>
      <c r="E431">
        <f t="shared" si="13"/>
        <v>-6.235654953585682E-3</v>
      </c>
    </row>
    <row r="432" spans="1:5" x14ac:dyDescent="0.35">
      <c r="A432" s="1">
        <f>Calculs!A432</f>
        <v>44812</v>
      </c>
      <c r="B432">
        <f>Calculs!B432</f>
        <v>1708</v>
      </c>
      <c r="C432">
        <f>Calculs!C432</f>
        <v>1.0235833570917696</v>
      </c>
      <c r="D432">
        <f t="shared" si="12"/>
        <v>-4.2649255334941934E-3</v>
      </c>
      <c r="E432">
        <f t="shared" si="13"/>
        <v>7.7085181366914491E-3</v>
      </c>
    </row>
    <row r="433" spans="1:5" x14ac:dyDescent="0.35">
      <c r="A433" s="1">
        <f>Calculs!A433</f>
        <v>44813</v>
      </c>
      <c r="B433">
        <f>Calculs!B433</f>
        <v>1716.199951171875</v>
      </c>
      <c r="C433">
        <f>Calculs!C433</f>
        <v>1.0323646488731637</v>
      </c>
      <c r="D433">
        <f t="shared" si="12"/>
        <v>4.7894205732026988E-3</v>
      </c>
      <c r="E433">
        <f t="shared" si="13"/>
        <v>8.5423806001728199E-3</v>
      </c>
    </row>
    <row r="434" spans="1:5" x14ac:dyDescent="0.35">
      <c r="A434" s="1">
        <f>Calculs!A434</f>
        <v>44816</v>
      </c>
      <c r="B434">
        <f>Calculs!B434</f>
        <v>1728.0999755859375</v>
      </c>
      <c r="C434">
        <f>Calculs!C434</f>
        <v>1.04175349127604</v>
      </c>
      <c r="D434">
        <f t="shared" si="12"/>
        <v>6.9100090105372255E-3</v>
      </c>
      <c r="E434">
        <f t="shared" si="13"/>
        <v>9.0533960915277299E-3</v>
      </c>
    </row>
    <row r="435" spans="1:5" x14ac:dyDescent="0.35">
      <c r="A435" s="1">
        <f>Calculs!A435</f>
        <v>44817</v>
      </c>
      <c r="B435">
        <f>Calculs!B435</f>
        <v>1705</v>
      </c>
      <c r="C435">
        <f>Calculs!C435</f>
        <v>1.0495382297682794</v>
      </c>
      <c r="D435">
        <f t="shared" si="12"/>
        <v>-1.3457414214637989E-2</v>
      </c>
      <c r="E435">
        <f t="shared" si="13"/>
        <v>7.4449435925630792E-3</v>
      </c>
    </row>
    <row r="436" spans="1:5" x14ac:dyDescent="0.35">
      <c r="A436" s="1">
        <f>Calculs!A436</f>
        <v>44818</v>
      </c>
      <c r="B436">
        <f>Calculs!B436</f>
        <v>1696.5</v>
      </c>
      <c r="C436">
        <f>Calculs!C436</f>
        <v>1.0413087065370776</v>
      </c>
      <c r="D436">
        <f t="shared" si="12"/>
        <v>-4.9978054933323456E-3</v>
      </c>
      <c r="E436">
        <f t="shared" si="13"/>
        <v>-7.8719925267609955E-3</v>
      </c>
    </row>
    <row r="437" spans="1:5" x14ac:dyDescent="0.35">
      <c r="A437" s="1">
        <f>Calculs!A437</f>
        <v>44819</v>
      </c>
      <c r="B437">
        <f>Calculs!B437</f>
        <v>1665.4000244140625</v>
      </c>
      <c r="C437">
        <f>Calculs!C437</f>
        <v>1.039615617964738</v>
      </c>
      <c r="D437">
        <f t="shared" si="12"/>
        <v>-1.8501955762987212E-2</v>
      </c>
      <c r="E437">
        <f t="shared" si="13"/>
        <v>-1.6272470132652915E-3</v>
      </c>
    </row>
    <row r="438" spans="1:5" x14ac:dyDescent="0.35">
      <c r="A438" s="1">
        <f>Calculs!A438</f>
        <v>44820</v>
      </c>
      <c r="B438">
        <f>Calculs!B438</f>
        <v>1671.699951171875</v>
      </c>
      <c r="C438">
        <f>Calculs!C438</f>
        <v>1.0397172193967821</v>
      </c>
      <c r="D438">
        <f t="shared" si="12"/>
        <v>3.7756940386221289E-3</v>
      </c>
      <c r="E438">
        <f t="shared" si="13"/>
        <v>9.772503016291755E-5</v>
      </c>
    </row>
    <row r="439" spans="1:5" x14ac:dyDescent="0.35">
      <c r="A439" s="1">
        <f>Calculs!A439</f>
        <v>44823</v>
      </c>
      <c r="B439">
        <f>Calculs!B439</f>
        <v>1666.199951171875</v>
      </c>
      <c r="C439">
        <f>Calculs!C439</f>
        <v>1.0381952158115029</v>
      </c>
      <c r="D439">
        <f t="shared" si="12"/>
        <v>-3.2954882641918711E-3</v>
      </c>
      <c r="E439">
        <f t="shared" si="13"/>
        <v>-1.4649355109289156E-3</v>
      </c>
    </row>
    <row r="440" spans="1:5" x14ac:dyDescent="0.35">
      <c r="A440" s="1">
        <f>Calculs!A440</f>
        <v>44824</v>
      </c>
      <c r="B440">
        <f>Calculs!B440</f>
        <v>1659.699951171875</v>
      </c>
      <c r="C440">
        <f>Calculs!C440</f>
        <v>1.0372475709974054</v>
      </c>
      <c r="D440">
        <f t="shared" si="12"/>
        <v>-3.9087215289053045E-3</v>
      </c>
      <c r="E440">
        <f t="shared" si="13"/>
        <v>-9.1319778697473465E-4</v>
      </c>
    </row>
    <row r="441" spans="1:5" x14ac:dyDescent="0.35">
      <c r="A441" s="1">
        <f>Calculs!A441</f>
        <v>44825</v>
      </c>
      <c r="B441">
        <f>Calculs!B441</f>
        <v>1664.5999755859375</v>
      </c>
      <c r="C441">
        <f>Calculs!C441</f>
        <v>1.0376673276553987</v>
      </c>
      <c r="D441">
        <f t="shared" si="12"/>
        <v>2.948005938547933E-3</v>
      </c>
      <c r="E441">
        <f t="shared" si="13"/>
        <v>4.0460132990721411E-4</v>
      </c>
    </row>
    <row r="442" spans="1:5" x14ac:dyDescent="0.35">
      <c r="A442" s="1">
        <f>Calculs!A442</f>
        <v>44826</v>
      </c>
      <c r="B442">
        <f>Calculs!B442</f>
        <v>1670.800048828125</v>
      </c>
      <c r="C442">
        <f>Calculs!C442</f>
        <v>1.0331219166692633</v>
      </c>
      <c r="D442">
        <f t="shared" si="12"/>
        <v>3.7177432020477504E-3</v>
      </c>
      <c r="E442">
        <f t="shared" si="13"/>
        <v>-4.3900346678675244E-3</v>
      </c>
    </row>
    <row r="443" spans="1:5" x14ac:dyDescent="0.35">
      <c r="A443" s="1">
        <f>Calculs!A443</f>
        <v>44827</v>
      </c>
      <c r="B443">
        <f>Calculs!B443</f>
        <v>1645.300048828125</v>
      </c>
      <c r="C443">
        <f>Calculs!C443</f>
        <v>1.0249051744307869</v>
      </c>
      <c r="D443">
        <f t="shared" si="12"/>
        <v>-1.5379814777475905E-2</v>
      </c>
      <c r="E443">
        <f t="shared" si="13"/>
        <v>-7.9851095581843067E-3</v>
      </c>
    </row>
    <row r="444" spans="1:5" x14ac:dyDescent="0.35">
      <c r="A444" s="1">
        <f>Calculs!A444</f>
        <v>44830</v>
      </c>
      <c r="B444">
        <f>Calculs!B444</f>
        <v>1623.300048828125</v>
      </c>
      <c r="C444">
        <f>Calculs!C444</f>
        <v>1.0179049338661537</v>
      </c>
      <c r="D444">
        <f t="shared" si="12"/>
        <v>-1.3461623673598822E-2</v>
      </c>
      <c r="E444">
        <f t="shared" si="13"/>
        <v>-6.8535669929315679E-3</v>
      </c>
    </row>
    <row r="445" spans="1:5" x14ac:dyDescent="0.35">
      <c r="A445" s="1">
        <f>Calculs!A445</f>
        <v>44831</v>
      </c>
      <c r="B445">
        <f>Calculs!B445</f>
        <v>1626.699951171875</v>
      </c>
      <c r="C445">
        <f>Calculs!C445</f>
        <v>1.007932446986602</v>
      </c>
      <c r="D445">
        <f t="shared" si="12"/>
        <v>2.0922483593887654E-3</v>
      </c>
      <c r="E445">
        <f t="shared" si="13"/>
        <v>-9.8453780423452247E-3</v>
      </c>
    </row>
    <row r="446" spans="1:5" x14ac:dyDescent="0.35">
      <c r="A446" s="1">
        <f>Calculs!A446</f>
        <v>44832</v>
      </c>
      <c r="B446">
        <f>Calculs!B446</f>
        <v>1660.4000244140625</v>
      </c>
      <c r="C446">
        <f>Calculs!C446</f>
        <v>1.0085525380456624</v>
      </c>
      <c r="D446">
        <f t="shared" si="12"/>
        <v>2.0505159126874725E-2</v>
      </c>
      <c r="E446">
        <f t="shared" si="13"/>
        <v>6.1502176630029632E-4</v>
      </c>
    </row>
    <row r="447" spans="1:5" x14ac:dyDescent="0.35">
      <c r="A447" s="1">
        <f>Calculs!A447</f>
        <v>44833</v>
      </c>
      <c r="B447">
        <f>Calculs!B447</f>
        <v>1658.5</v>
      </c>
      <c r="C447">
        <f>Calculs!C447</f>
        <v>1.0228923244860211</v>
      </c>
      <c r="D447">
        <f t="shared" si="12"/>
        <v>-1.1449724954999327E-3</v>
      </c>
      <c r="E447">
        <f t="shared" si="13"/>
        <v>1.4118054481583641E-2</v>
      </c>
    </row>
    <row r="448" spans="1:5" x14ac:dyDescent="0.35">
      <c r="A448" s="1">
        <f>Calculs!A448</f>
        <v>44834</v>
      </c>
      <c r="B448">
        <f>Calculs!B448</f>
        <v>1662.4000244140625</v>
      </c>
      <c r="C448">
        <f>Calculs!C448</f>
        <v>1.0257146789148437</v>
      </c>
      <c r="D448">
        <f t="shared" si="12"/>
        <v>2.348776643889567E-3</v>
      </c>
      <c r="E448">
        <f t="shared" si="13"/>
        <v>2.755390574949894E-3</v>
      </c>
    </row>
    <row r="449" spans="1:5" x14ac:dyDescent="0.35">
      <c r="A449" s="1">
        <f>Calculs!A449</f>
        <v>44837</v>
      </c>
      <c r="B449">
        <f>Calculs!B449</f>
        <v>1692.9000244140625</v>
      </c>
      <c r="C449">
        <f>Calculs!C449</f>
        <v>1.014558917466208</v>
      </c>
      <c r="D449">
        <f t="shared" si="12"/>
        <v>1.8180693033651461E-2</v>
      </c>
      <c r="E449">
        <f t="shared" si="13"/>
        <v>-1.0935663377190041E-2</v>
      </c>
    </row>
    <row r="450" spans="1:5" x14ac:dyDescent="0.35">
      <c r="A450" s="1">
        <f>Calculs!A450</f>
        <v>44838</v>
      </c>
      <c r="B450">
        <f>Calculs!B450</f>
        <v>1721.0999755859375</v>
      </c>
      <c r="C450">
        <f>Calculs!C450</f>
        <v>1.0074957390510937</v>
      </c>
      <c r="D450">
        <f t="shared" si="12"/>
        <v>1.6520558026136455E-2</v>
      </c>
      <c r="E450">
        <f t="shared" si="13"/>
        <v>-6.9861683706442714E-3</v>
      </c>
    </row>
    <row r="451" spans="1:5" x14ac:dyDescent="0.35">
      <c r="A451" s="1">
        <f>Calculs!A451</f>
        <v>44839</v>
      </c>
      <c r="B451">
        <f>Calculs!B451</f>
        <v>1711.4000244140625</v>
      </c>
      <c r="C451">
        <f>Calculs!C451</f>
        <v>1.0217739745941672</v>
      </c>
      <c r="D451">
        <f t="shared" si="12"/>
        <v>-5.6518438412799738E-3</v>
      </c>
      <c r="E451">
        <f t="shared" si="13"/>
        <v>1.4072521833693712E-2</v>
      </c>
    </row>
    <row r="452" spans="1:5" x14ac:dyDescent="0.35">
      <c r="A452" s="1">
        <f>Calculs!A452</f>
        <v>44840</v>
      </c>
      <c r="B452">
        <f>Calculs!B452</f>
        <v>1711.699951171875</v>
      </c>
      <c r="C452">
        <f>Calculs!C452</f>
        <v>1.0190355602813395</v>
      </c>
      <c r="D452">
        <f t="shared" ref="D452:D515" si="14">LN(B452/B451)</f>
        <v>1.7523692601385205E-4</v>
      </c>
      <c r="E452">
        <f t="shared" ref="E452:E515" si="15">LN(C452/C451)</f>
        <v>-2.683656568178911E-3</v>
      </c>
    </row>
    <row r="453" spans="1:5" x14ac:dyDescent="0.35">
      <c r="A453" s="1">
        <f>Calculs!A453</f>
        <v>44841</v>
      </c>
      <c r="B453">
        <f>Calculs!B453</f>
        <v>1700.5</v>
      </c>
      <c r="C453">
        <f>Calculs!C453</f>
        <v>1.0101315911712854</v>
      </c>
      <c r="D453">
        <f t="shared" si="14"/>
        <v>-6.5646747282682022E-3</v>
      </c>
      <c r="E453">
        <f t="shared" si="15"/>
        <v>-8.7760402108013596E-3</v>
      </c>
    </row>
    <row r="454" spans="1:5" x14ac:dyDescent="0.35">
      <c r="A454" s="1">
        <f>Calculs!A454</f>
        <v>44844</v>
      </c>
      <c r="B454">
        <f>Calculs!B454</f>
        <v>1667.300048828125</v>
      </c>
      <c r="C454">
        <f>Calculs!C454</f>
        <v>1.0054697521531291</v>
      </c>
      <c r="D454">
        <f t="shared" si="14"/>
        <v>-1.9716744595091009E-2</v>
      </c>
      <c r="E454">
        <f t="shared" si="15"/>
        <v>-4.6257632704076474E-3</v>
      </c>
    </row>
    <row r="455" spans="1:5" x14ac:dyDescent="0.35">
      <c r="A455" s="1">
        <f>Calculs!A455</f>
        <v>44845</v>
      </c>
      <c r="B455">
        <f>Calculs!B455</f>
        <v>1678.699951171875</v>
      </c>
      <c r="C455">
        <f>Calculs!C455</f>
        <v>1.0004902500120014</v>
      </c>
      <c r="D455">
        <f t="shared" si="14"/>
        <v>6.8140743893408389E-3</v>
      </c>
      <c r="E455">
        <f t="shared" si="15"/>
        <v>-4.9647175056536366E-3</v>
      </c>
    </row>
    <row r="456" spans="1:5" x14ac:dyDescent="0.35">
      <c r="A456" s="1">
        <f>Calculs!A456</f>
        <v>44846</v>
      </c>
      <c r="B456">
        <f>Calculs!B456</f>
        <v>1670.300048828125</v>
      </c>
      <c r="C456">
        <f>Calculs!C456</f>
        <v>1.002405754787715</v>
      </c>
      <c r="D456">
        <f t="shared" si="14"/>
        <v>-5.0163750124518312E-3</v>
      </c>
      <c r="E456">
        <f t="shared" si="15"/>
        <v>1.9127357138085002E-3</v>
      </c>
    </row>
    <row r="457" spans="1:5" x14ac:dyDescent="0.35">
      <c r="A457" s="1">
        <f>Calculs!A457</f>
        <v>44847</v>
      </c>
      <c r="B457">
        <f>Calculs!B457</f>
        <v>1670</v>
      </c>
      <c r="C457">
        <f>Calculs!C457</f>
        <v>1.0026168578618115</v>
      </c>
      <c r="D457">
        <f t="shared" si="14"/>
        <v>-1.7965381824740632E-4</v>
      </c>
      <c r="E457">
        <f t="shared" si="15"/>
        <v>2.1057425840964269E-4</v>
      </c>
    </row>
    <row r="458" spans="1:5" x14ac:dyDescent="0.35">
      <c r="A458" s="1">
        <f>Calculs!A458</f>
        <v>44848</v>
      </c>
      <c r="B458">
        <f>Calculs!B458</f>
        <v>1641.699951171875</v>
      </c>
      <c r="C458">
        <f>Calculs!C458</f>
        <v>0.99859197784495946</v>
      </c>
      <c r="D458">
        <f t="shared" si="14"/>
        <v>-1.7091365852745091E-2</v>
      </c>
      <c r="E458">
        <f t="shared" si="15"/>
        <v>-4.0224542006434046E-3</v>
      </c>
    </row>
    <row r="459" spans="1:5" x14ac:dyDescent="0.35">
      <c r="A459" s="1">
        <f>Calculs!A459</f>
        <v>44851</v>
      </c>
      <c r="B459">
        <f>Calculs!B459</f>
        <v>1657</v>
      </c>
      <c r="C459">
        <f>Calculs!C459</f>
        <v>0.99634344229525307</v>
      </c>
      <c r="D459">
        <f t="shared" si="14"/>
        <v>9.2764778685072626E-3</v>
      </c>
      <c r="E459">
        <f t="shared" si="15"/>
        <v>-2.2542449035587537E-3</v>
      </c>
    </row>
    <row r="460" spans="1:5" x14ac:dyDescent="0.35">
      <c r="A460" s="1">
        <f>Calculs!A460</f>
        <v>44852</v>
      </c>
      <c r="B460">
        <f>Calculs!B460</f>
        <v>1649</v>
      </c>
      <c r="C460">
        <f>Calculs!C460</f>
        <v>1.0045203131486047</v>
      </c>
      <c r="D460">
        <f t="shared" si="14"/>
        <v>-4.8396948669639671E-3</v>
      </c>
      <c r="E460">
        <f t="shared" si="15"/>
        <v>8.1733864705795869E-3</v>
      </c>
    </row>
    <row r="461" spans="1:5" x14ac:dyDescent="0.35">
      <c r="A461" s="1">
        <f>Calculs!A461</f>
        <v>44853</v>
      </c>
      <c r="B461">
        <f>Calculs!B461</f>
        <v>1627.5</v>
      </c>
      <c r="C461">
        <f>Calculs!C461</f>
        <v>1.0063601961324402</v>
      </c>
      <c r="D461">
        <f t="shared" si="14"/>
        <v>-1.3123948476874548E-2</v>
      </c>
      <c r="E461">
        <f t="shared" si="15"/>
        <v>1.8299282217602729E-3</v>
      </c>
    </row>
    <row r="462" spans="1:5" x14ac:dyDescent="0.35">
      <c r="A462" s="1">
        <f>Calculs!A462</f>
        <v>44854</v>
      </c>
      <c r="B462">
        <f>Calculs!B462</f>
        <v>1630.800048828125</v>
      </c>
      <c r="C462">
        <f>Calculs!C462</f>
        <v>0.99521304949117662</v>
      </c>
      <c r="D462">
        <f t="shared" si="14"/>
        <v>2.02562680358335E-3</v>
      </c>
      <c r="E462">
        <f t="shared" si="15"/>
        <v>-1.1138500091426532E-2</v>
      </c>
    </row>
    <row r="463" spans="1:5" x14ac:dyDescent="0.35">
      <c r="A463" s="1">
        <f>Calculs!A463</f>
        <v>44855</v>
      </c>
      <c r="B463">
        <f>Calculs!B463</f>
        <v>1651</v>
      </c>
      <c r="C463">
        <f>Calculs!C463</f>
        <v>0.99620441326470932</v>
      </c>
      <c r="D463">
        <f t="shared" si="14"/>
        <v>1.2310443033820328E-2</v>
      </c>
      <c r="E463">
        <f t="shared" si="15"/>
        <v>9.9563639866359784E-4</v>
      </c>
    </row>
    <row r="464" spans="1:5" x14ac:dyDescent="0.35">
      <c r="A464" s="1">
        <f>Calculs!A464</f>
        <v>44858</v>
      </c>
      <c r="B464">
        <f>Calculs!B464</f>
        <v>1648.699951171875</v>
      </c>
      <c r="C464">
        <f>Calculs!C464</f>
        <v>1.0021245220303281</v>
      </c>
      <c r="D464">
        <f t="shared" si="14"/>
        <v>-1.3940959691325695E-3</v>
      </c>
      <c r="E464">
        <f t="shared" si="15"/>
        <v>5.9250766784057548E-3</v>
      </c>
    </row>
    <row r="465" spans="1:5" x14ac:dyDescent="0.35">
      <c r="A465" s="1">
        <f>Calculs!A465</f>
        <v>44859</v>
      </c>
      <c r="B465">
        <f>Calculs!B465</f>
        <v>1652.800048828125</v>
      </c>
      <c r="C465">
        <f>Calculs!C465</f>
        <v>1.0006003405468431</v>
      </c>
      <c r="D465">
        <f t="shared" si="14"/>
        <v>2.4837799570480903E-3</v>
      </c>
      <c r="E465">
        <f t="shared" si="15"/>
        <v>-1.5221080101775202E-3</v>
      </c>
    </row>
    <row r="466" spans="1:5" x14ac:dyDescent="0.35">
      <c r="A466" s="1">
        <f>Calculs!A466</f>
        <v>44860</v>
      </c>
      <c r="B466">
        <f>Calculs!B466</f>
        <v>1664</v>
      </c>
      <c r="C466">
        <f>Calculs!C466</f>
        <v>1.0053585875615787</v>
      </c>
      <c r="D466">
        <f t="shared" si="14"/>
        <v>6.7534934731103176E-3</v>
      </c>
      <c r="E466">
        <f t="shared" si="15"/>
        <v>4.7441210011042187E-3</v>
      </c>
    </row>
    <row r="467" spans="1:5" x14ac:dyDescent="0.35">
      <c r="A467" s="1">
        <f>Calculs!A467</f>
        <v>44861</v>
      </c>
      <c r="B467">
        <f>Calculs!B467</f>
        <v>1660.699951171875</v>
      </c>
      <c r="C467">
        <f>Calculs!C467</f>
        <v>1.0152180908723769</v>
      </c>
      <c r="D467">
        <f t="shared" si="14"/>
        <v>-1.985171570581598E-3</v>
      </c>
      <c r="E467">
        <f t="shared" si="15"/>
        <v>9.7591758518664889E-3</v>
      </c>
    </row>
    <row r="468" spans="1:5" x14ac:dyDescent="0.35">
      <c r="A468" s="1">
        <f>Calculs!A468</f>
        <v>44862</v>
      </c>
      <c r="B468">
        <f>Calculs!B468</f>
        <v>1639.5999755859375</v>
      </c>
      <c r="C468">
        <f>Calculs!C468</f>
        <v>1.0096522645179049</v>
      </c>
      <c r="D468">
        <f t="shared" si="14"/>
        <v>-1.2786876070645195E-2</v>
      </c>
      <c r="E468">
        <f t="shared" si="15"/>
        <v>-5.4974782531692452E-3</v>
      </c>
    </row>
    <row r="469" spans="1:5" x14ac:dyDescent="0.35">
      <c r="A469" s="1">
        <f>Calculs!A469</f>
        <v>44865</v>
      </c>
      <c r="B469">
        <f>Calculs!B469</f>
        <v>1635.9000244140625</v>
      </c>
      <c r="C469">
        <f>Calculs!C469</f>
        <v>1.0036029222014065</v>
      </c>
      <c r="D469">
        <f t="shared" si="14"/>
        <v>-2.2591682158683152E-3</v>
      </c>
      <c r="E469">
        <f t="shared" si="15"/>
        <v>-6.0095317892402593E-3</v>
      </c>
    </row>
    <row r="470" spans="1:5" x14ac:dyDescent="0.35">
      <c r="A470" s="1">
        <f>Calculs!A470</f>
        <v>44866</v>
      </c>
      <c r="B470">
        <f>Calculs!B470</f>
        <v>1645</v>
      </c>
      <c r="C470">
        <f>Calculs!C470</f>
        <v>0.99859197784495946</v>
      </c>
      <c r="D470">
        <f t="shared" si="14"/>
        <v>5.547257675413403E-3</v>
      </c>
      <c r="E470">
        <f t="shared" si="15"/>
        <v>-5.0054615748075489E-3</v>
      </c>
    </row>
    <row r="471" spans="1:5" x14ac:dyDescent="0.35">
      <c r="A471" s="1">
        <f>Calculs!A471</f>
        <v>44867</v>
      </c>
      <c r="B471">
        <f>Calculs!B471</f>
        <v>1645.699951171875</v>
      </c>
      <c r="C471">
        <f>Calculs!C471</f>
        <v>1.0003000801982664</v>
      </c>
      <c r="D471">
        <f t="shared" si="14"/>
        <v>4.2541173173927561E-4</v>
      </c>
      <c r="E471">
        <f t="shared" si="15"/>
        <v>1.7090495329080988E-3</v>
      </c>
    </row>
    <row r="472" spans="1:5" x14ac:dyDescent="0.35">
      <c r="A472" s="1">
        <f>Calculs!A472</f>
        <v>44868</v>
      </c>
      <c r="B472">
        <f>Calculs!B472</f>
        <v>1627.300048828125</v>
      </c>
      <c r="C472">
        <f>Calculs!C472</f>
        <v>0.99673067991045283</v>
      </c>
      <c r="D472">
        <f t="shared" si="14"/>
        <v>-1.1243566259035888E-2</v>
      </c>
      <c r="E472">
        <f t="shared" si="15"/>
        <v>-3.5747111763080527E-3</v>
      </c>
    </row>
    <row r="473" spans="1:5" x14ac:dyDescent="0.35">
      <c r="A473" s="1">
        <f>Calculs!A473</f>
        <v>44869</v>
      </c>
      <c r="B473">
        <f>Calculs!B473</f>
        <v>1672.5</v>
      </c>
      <c r="C473">
        <f>Calculs!C473</f>
        <v>0.98675772536598727</v>
      </c>
      <c r="D473">
        <f t="shared" si="14"/>
        <v>2.739728333020796E-2</v>
      </c>
      <c r="E473">
        <f t="shared" si="15"/>
        <v>-1.005605937514545E-2</v>
      </c>
    </row>
    <row r="474" spans="1:5" x14ac:dyDescent="0.35">
      <c r="A474" s="1">
        <f>Calculs!A474</f>
        <v>44872</v>
      </c>
      <c r="B474">
        <f>Calculs!B474</f>
        <v>1676.5</v>
      </c>
      <c r="C474">
        <f>Calculs!C474</f>
        <v>1.0032706789083607</v>
      </c>
      <c r="D474">
        <f t="shared" si="14"/>
        <v>2.3887739038996633E-3</v>
      </c>
      <c r="E474">
        <f t="shared" si="15"/>
        <v>1.6596077240332959E-2</v>
      </c>
    </row>
    <row r="475" spans="1:5" x14ac:dyDescent="0.35">
      <c r="A475" s="1">
        <f>Calculs!A475</f>
        <v>44873</v>
      </c>
      <c r="B475">
        <f>Calculs!B475</f>
        <v>1712.0999755859375</v>
      </c>
      <c r="C475">
        <f>Calculs!C475</f>
        <v>1.0112450667252217</v>
      </c>
      <c r="D475">
        <f t="shared" si="14"/>
        <v>2.1012386044771139E-2</v>
      </c>
      <c r="E475">
        <f t="shared" si="15"/>
        <v>7.9169691137180934E-3</v>
      </c>
    </row>
    <row r="476" spans="1:5" x14ac:dyDescent="0.35">
      <c r="A476" s="1">
        <f>Calculs!A476</f>
        <v>44874</v>
      </c>
      <c r="B476">
        <f>Calculs!B476</f>
        <v>1710.0999755859375</v>
      </c>
      <c r="C476">
        <f>Calculs!C476</f>
        <v>1.0157956398303982</v>
      </c>
      <c r="D476">
        <f t="shared" si="14"/>
        <v>-1.1688389084410285E-3</v>
      </c>
      <c r="E476">
        <f t="shared" si="15"/>
        <v>4.4898760395245714E-3</v>
      </c>
    </row>
    <row r="477" spans="1:5" x14ac:dyDescent="0.35">
      <c r="A477" s="1">
        <f>Calculs!A477</f>
        <v>44875</v>
      </c>
      <c r="B477">
        <f>Calculs!B477</f>
        <v>1750.300048828125</v>
      </c>
      <c r="C477">
        <f>Calculs!C477</f>
        <v>1.0167768135447934</v>
      </c>
      <c r="D477">
        <f t="shared" si="14"/>
        <v>2.3235395651179536E-2</v>
      </c>
      <c r="E477">
        <f t="shared" si="15"/>
        <v>9.6545024899660759E-4</v>
      </c>
    </row>
    <row r="478" spans="1:5" x14ac:dyDescent="0.35">
      <c r="A478" s="1">
        <f>Calculs!A478</f>
        <v>44876</v>
      </c>
      <c r="B478">
        <f>Calculs!B478</f>
        <v>1766</v>
      </c>
      <c r="C478">
        <f>Calculs!C478</f>
        <v>1.0363661173611916</v>
      </c>
      <c r="D478">
        <f t="shared" si="14"/>
        <v>8.9298724701124144E-3</v>
      </c>
      <c r="E478">
        <f t="shared" si="15"/>
        <v>1.9082839269895509E-2</v>
      </c>
    </row>
    <row r="479" spans="1:5" x14ac:dyDescent="0.35">
      <c r="A479" s="1">
        <f>Calculs!A479</f>
        <v>44879</v>
      </c>
      <c r="B479">
        <f>Calculs!B479</f>
        <v>1773.5999755859375</v>
      </c>
      <c r="C479">
        <f>Calculs!C479</f>
        <v>1.0592659129814501</v>
      </c>
      <c r="D479">
        <f t="shared" si="14"/>
        <v>4.2942633729377826E-3</v>
      </c>
      <c r="E479">
        <f t="shared" si="15"/>
        <v>2.1855656743510563E-2</v>
      </c>
    </row>
    <row r="480" spans="1:5" x14ac:dyDescent="0.35">
      <c r="A480" s="1">
        <f>Calculs!A480</f>
        <v>44880</v>
      </c>
      <c r="B480">
        <f>Calculs!B480</f>
        <v>1773.800048828125</v>
      </c>
      <c r="C480">
        <f>Calculs!C480</f>
        <v>1.0602205346597346</v>
      </c>
      <c r="D480">
        <f t="shared" si="14"/>
        <v>1.1279993292139435E-4</v>
      </c>
      <c r="E480">
        <f t="shared" si="15"/>
        <v>9.0080476230380022E-4</v>
      </c>
    </row>
    <row r="481" spans="1:5" x14ac:dyDescent="0.35">
      <c r="A481" s="1">
        <f>Calculs!A481</f>
        <v>44881</v>
      </c>
      <c r="B481">
        <f>Calculs!B481</f>
        <v>1773</v>
      </c>
      <c r="C481">
        <f>Calculs!C481</f>
        <v>1.0605465881934244</v>
      </c>
      <c r="D481">
        <f t="shared" si="14"/>
        <v>-4.5113839555664572E-4</v>
      </c>
      <c r="E481">
        <f t="shared" si="15"/>
        <v>3.0748641163394605E-4</v>
      </c>
    </row>
    <row r="482" spans="1:5" x14ac:dyDescent="0.35">
      <c r="A482" s="1">
        <f>Calculs!A482</f>
        <v>44882</v>
      </c>
      <c r="B482">
        <f>Calculs!B482</f>
        <v>1760.800048828125</v>
      </c>
      <c r="C482">
        <f>Calculs!C482</f>
        <v>1.0588957999230879</v>
      </c>
      <c r="D482">
        <f t="shared" si="14"/>
        <v>-6.9047481313083813E-3</v>
      </c>
      <c r="E482">
        <f t="shared" si="15"/>
        <v>-1.5577574681060467E-3</v>
      </c>
    </row>
    <row r="483" spans="1:5" x14ac:dyDescent="0.35">
      <c r="A483" s="1">
        <f>Calculs!A483</f>
        <v>44883</v>
      </c>
      <c r="B483">
        <f>Calculs!B483</f>
        <v>1751.9000244140625</v>
      </c>
      <c r="C483">
        <f>Calculs!C483</f>
        <v>1.0496704126139516</v>
      </c>
      <c r="D483">
        <f t="shared" si="14"/>
        <v>-5.0673517653606753E-3</v>
      </c>
      <c r="E483">
        <f t="shared" si="15"/>
        <v>-8.7504448473914274E-3</v>
      </c>
    </row>
    <row r="484" spans="1:5" x14ac:dyDescent="0.35">
      <c r="A484" s="1">
        <f>Calculs!A484</f>
        <v>44886</v>
      </c>
      <c r="B484">
        <f>Calculs!B484</f>
        <v>1737.4000244140625</v>
      </c>
      <c r="C484">
        <f>Calculs!C484</f>
        <v>1.0489547382201687</v>
      </c>
      <c r="D484">
        <f t="shared" si="14"/>
        <v>-8.3111702996510346E-3</v>
      </c>
      <c r="E484">
        <f t="shared" si="15"/>
        <v>-6.8204121278309538E-4</v>
      </c>
    </row>
    <row r="485" spans="1:5" x14ac:dyDescent="0.35">
      <c r="A485" s="1">
        <f>Calculs!A485</f>
        <v>44887</v>
      </c>
      <c r="B485">
        <f>Calculs!B485</f>
        <v>1738.300048828125</v>
      </c>
      <c r="C485">
        <f>Calculs!C485</f>
        <v>1.043373024779495</v>
      </c>
      <c r="D485">
        <f t="shared" si="14"/>
        <v>5.1789533919112938E-4</v>
      </c>
      <c r="E485">
        <f t="shared" si="15"/>
        <v>-5.3354228534085143E-3</v>
      </c>
    </row>
    <row r="486" spans="1:5" x14ac:dyDescent="0.35">
      <c r="A486" s="1">
        <f>Calculs!A486</f>
        <v>44888</v>
      </c>
      <c r="B486">
        <f>Calculs!B486</f>
        <v>1744.9000244140625</v>
      </c>
      <c r="C486">
        <f>Calculs!C486</f>
        <v>1.0514252309477143</v>
      </c>
      <c r="D486">
        <f t="shared" si="14"/>
        <v>3.7896091787737837E-3</v>
      </c>
      <c r="E486">
        <f t="shared" si="15"/>
        <v>7.6878485126704822E-3</v>
      </c>
    </row>
    <row r="487" spans="1:5" x14ac:dyDescent="0.35">
      <c r="A487" s="1">
        <f>Calculs!A487</f>
        <v>44890</v>
      </c>
      <c r="B487">
        <f>Calculs!B487</f>
        <v>1753.300048828125</v>
      </c>
      <c r="C487">
        <f>Calculs!C487</f>
        <v>1.0600294860935551</v>
      </c>
      <c r="D487">
        <f t="shared" si="14"/>
        <v>4.8024929294994264E-3</v>
      </c>
      <c r="E487">
        <f t="shared" si="15"/>
        <v>8.1501182138268725E-3</v>
      </c>
    </row>
    <row r="488" spans="1:5" x14ac:dyDescent="0.35">
      <c r="A488" s="1">
        <f>Calculs!A488</f>
        <v>44893</v>
      </c>
      <c r="B488">
        <f>Calculs!B488</f>
        <v>1740.0999755859375</v>
      </c>
      <c r="C488">
        <f>Calculs!C488</f>
        <v>1.0555426474445495</v>
      </c>
      <c r="D488">
        <f t="shared" si="14"/>
        <v>-7.557185534083681E-3</v>
      </c>
      <c r="E488">
        <f t="shared" si="15"/>
        <v>-4.2417323477182507E-3</v>
      </c>
    </row>
    <row r="489" spans="1:5" x14ac:dyDescent="0.35">
      <c r="A489" s="1">
        <f>Calculs!A489</f>
        <v>44894</v>
      </c>
      <c r="B489">
        <f>Calculs!B489</f>
        <v>1748.4000244140625</v>
      </c>
      <c r="C489">
        <f>Calculs!C489</f>
        <v>1.0539739936820172</v>
      </c>
      <c r="D489">
        <f t="shared" si="14"/>
        <v>4.7585291615505022E-3</v>
      </c>
      <c r="E489">
        <f t="shared" si="15"/>
        <v>-1.4872165699772986E-3</v>
      </c>
    </row>
    <row r="490" spans="1:5" x14ac:dyDescent="0.35">
      <c r="A490" s="1">
        <f>Calculs!A490</f>
        <v>44895</v>
      </c>
      <c r="B490">
        <f>Calculs!B490</f>
        <v>1746</v>
      </c>
      <c r="C490">
        <f>Calculs!C490</f>
        <v>1.0478775241378169</v>
      </c>
      <c r="D490">
        <f t="shared" si="14"/>
        <v>-1.3736405532714349E-3</v>
      </c>
      <c r="E490">
        <f t="shared" si="15"/>
        <v>-5.8010631000388621E-3</v>
      </c>
    </row>
    <row r="491" spans="1:5" x14ac:dyDescent="0.35">
      <c r="A491" s="1">
        <f>Calculs!A491</f>
        <v>44896</v>
      </c>
      <c r="B491">
        <f>Calculs!B491</f>
        <v>1801.0999755859375</v>
      </c>
      <c r="C491">
        <f>Calculs!C491</f>
        <v>1.0594566863852191</v>
      </c>
      <c r="D491">
        <f t="shared" si="14"/>
        <v>3.1070118388379801E-2</v>
      </c>
      <c r="E491">
        <f t="shared" si="15"/>
        <v>1.0989503917498573E-2</v>
      </c>
    </row>
    <row r="492" spans="1:5" x14ac:dyDescent="0.35">
      <c r="A492" s="1">
        <f>Calculs!A492</f>
        <v>44897</v>
      </c>
      <c r="B492">
        <f>Calculs!B492</f>
        <v>1795.9000244140625</v>
      </c>
      <c r="C492">
        <f>Calculs!C492</f>
        <v>1.0679311168154688</v>
      </c>
      <c r="D492">
        <f t="shared" si="14"/>
        <v>-2.8912731689037141E-3</v>
      </c>
      <c r="E492">
        <f t="shared" si="15"/>
        <v>7.9670243879213093E-3</v>
      </c>
    </row>
    <row r="493" spans="1:5" x14ac:dyDescent="0.35">
      <c r="A493" s="1">
        <f>Calculs!A493</f>
        <v>44900</v>
      </c>
      <c r="B493">
        <f>Calculs!B493</f>
        <v>1767.4000244140625</v>
      </c>
      <c r="C493">
        <f>Calculs!C493</f>
        <v>1.0678626676402505</v>
      </c>
      <c r="D493">
        <f t="shared" si="14"/>
        <v>-1.5996748721572914E-2</v>
      </c>
      <c r="E493">
        <f t="shared" si="15"/>
        <v>-6.4097176178671905E-5</v>
      </c>
    </row>
    <row r="494" spans="1:5" x14ac:dyDescent="0.35">
      <c r="A494" s="1">
        <f>Calculs!A494</f>
        <v>44901</v>
      </c>
      <c r="B494">
        <f>Calculs!B494</f>
        <v>1769.300048828125</v>
      </c>
      <c r="C494">
        <f>Calculs!C494</f>
        <v>1.0612331285429197</v>
      </c>
      <c r="D494">
        <f t="shared" si="14"/>
        <v>1.0744618189316108E-3</v>
      </c>
      <c r="E494">
        <f t="shared" si="15"/>
        <v>-6.2275831225672715E-3</v>
      </c>
    </row>
    <row r="495" spans="1:5" x14ac:dyDescent="0.35">
      <c r="A495" s="1">
        <f>Calculs!A495</f>
        <v>44902</v>
      </c>
      <c r="B495">
        <f>Calculs!B495</f>
        <v>1785.5</v>
      </c>
      <c r="C495">
        <f>Calculs!C495</f>
        <v>1.0615373041374365</v>
      </c>
      <c r="D495">
        <f t="shared" si="14"/>
        <v>9.1144723181207678E-3</v>
      </c>
      <c r="E495">
        <f t="shared" si="15"/>
        <v>2.8658360029495494E-4</v>
      </c>
    </row>
    <row r="496" spans="1:5" x14ac:dyDescent="0.35">
      <c r="A496" s="1">
        <f>Calculs!A496</f>
        <v>44903</v>
      </c>
      <c r="B496">
        <f>Calculs!B496</f>
        <v>1788.699951171875</v>
      </c>
      <c r="C496">
        <f>Calculs!C496</f>
        <v>1.0635242993188068</v>
      </c>
      <c r="D496">
        <f t="shared" si="14"/>
        <v>1.7905836665891154E-3</v>
      </c>
      <c r="E496">
        <f t="shared" si="15"/>
        <v>1.8700594441143257E-3</v>
      </c>
    </row>
    <row r="497" spans="1:5" x14ac:dyDescent="0.35">
      <c r="A497" s="1">
        <f>Calculs!A497</f>
        <v>44904</v>
      </c>
      <c r="B497">
        <f>Calculs!B497</f>
        <v>1798.0999755859375</v>
      </c>
      <c r="C497">
        <f>Calculs!C497</f>
        <v>1.0685359170123161</v>
      </c>
      <c r="D497">
        <f t="shared" si="14"/>
        <v>5.2414665587995754E-3</v>
      </c>
      <c r="E497">
        <f t="shared" si="15"/>
        <v>4.7012057965391402E-3</v>
      </c>
    </row>
    <row r="498" spans="1:5" x14ac:dyDescent="0.35">
      <c r="A498" s="1">
        <f>Calculs!A498</f>
        <v>44907</v>
      </c>
      <c r="B498">
        <f>Calculs!B498</f>
        <v>1780.5</v>
      </c>
      <c r="C498">
        <f>Calculs!C498</f>
        <v>1.0695301682099334</v>
      </c>
      <c r="D498">
        <f t="shared" si="14"/>
        <v>-9.8363145420593528E-3</v>
      </c>
      <c r="E498">
        <f t="shared" si="15"/>
        <v>9.3004727604756722E-4</v>
      </c>
    </row>
    <row r="499" spans="1:5" x14ac:dyDescent="0.35">
      <c r="A499" s="1">
        <f>Calculs!A499</f>
        <v>44908</v>
      </c>
      <c r="B499">
        <f>Calculs!B499</f>
        <v>1813.9000244140625</v>
      </c>
      <c r="C499">
        <f>Calculs!C499</f>
        <v>1.0686729287618306</v>
      </c>
      <c r="D499">
        <f t="shared" si="14"/>
        <v>1.858501310552256E-2</v>
      </c>
      <c r="E499">
        <f t="shared" si="15"/>
        <v>-8.0183168310425277E-4</v>
      </c>
    </row>
    <row r="500" spans="1:5" x14ac:dyDescent="0.35">
      <c r="A500" s="1">
        <f>Calculs!A500</f>
        <v>44909</v>
      </c>
      <c r="B500">
        <f>Calculs!B500</f>
        <v>1807.5</v>
      </c>
      <c r="C500">
        <f>Calculs!C500</f>
        <v>1.0764494474357196</v>
      </c>
      <c r="D500">
        <f t="shared" si="14"/>
        <v>-3.5345617904352757E-3</v>
      </c>
      <c r="E500">
        <f t="shared" si="15"/>
        <v>7.2504513748602077E-3</v>
      </c>
    </row>
    <row r="501" spans="1:5" x14ac:dyDescent="0.35">
      <c r="A501" s="1">
        <f>Calculs!A501</f>
        <v>44910</v>
      </c>
      <c r="B501">
        <f>Calculs!B501</f>
        <v>1777.199951171875</v>
      </c>
      <c r="C501">
        <f>Calculs!C501</f>
        <v>1.0818412666478376</v>
      </c>
      <c r="D501">
        <f t="shared" si="14"/>
        <v>-1.6905610445916298E-2</v>
      </c>
      <c r="E501">
        <f t="shared" si="15"/>
        <v>4.996389405439612E-3</v>
      </c>
    </row>
    <row r="502" spans="1:5" x14ac:dyDescent="0.35">
      <c r="A502" s="1">
        <f>Calculs!A502</f>
        <v>44911</v>
      </c>
      <c r="B502">
        <f>Calculs!B502</f>
        <v>1790</v>
      </c>
      <c r="C502">
        <f>Calculs!C502</f>
        <v>1.07800437403141</v>
      </c>
      <c r="D502">
        <f t="shared" si="14"/>
        <v>7.1765552477973159E-3</v>
      </c>
      <c r="E502">
        <f t="shared" si="15"/>
        <v>-3.5529359879853777E-3</v>
      </c>
    </row>
    <row r="503" spans="1:5" x14ac:dyDescent="0.35">
      <c r="A503" s="1">
        <f>Calculs!A503</f>
        <v>44914</v>
      </c>
      <c r="B503">
        <f>Calculs!B503</f>
        <v>1787.699951171875</v>
      </c>
      <c r="C503">
        <f>Calculs!C503</f>
        <v>1.0699993258778528</v>
      </c>
      <c r="D503">
        <f t="shared" si="14"/>
        <v>-1.2857697271356746E-3</v>
      </c>
      <c r="E503">
        <f t="shared" si="15"/>
        <v>-7.4535115687074834E-3</v>
      </c>
    </row>
    <row r="504" spans="1:5" x14ac:dyDescent="0.35">
      <c r="A504" s="1">
        <f>Calculs!A504</f>
        <v>44915</v>
      </c>
      <c r="B504">
        <f>Calculs!B504</f>
        <v>1815.9000244140625</v>
      </c>
      <c r="C504">
        <f>Calculs!C504</f>
        <v>1.0767391902604524</v>
      </c>
      <c r="D504">
        <f t="shared" si="14"/>
        <v>1.5651375902693578E-2</v>
      </c>
      <c r="E504">
        <f t="shared" si="15"/>
        <v>6.2791872200297812E-3</v>
      </c>
    </row>
    <row r="505" spans="1:5" x14ac:dyDescent="0.35">
      <c r="A505" s="1">
        <f>Calculs!A505</f>
        <v>44916</v>
      </c>
      <c r="B505">
        <f>Calculs!B505</f>
        <v>1815.9000244140625</v>
      </c>
      <c r="C505">
        <f>Calculs!C505</f>
        <v>1.0796920500756488</v>
      </c>
      <c r="D505">
        <f t="shared" si="14"/>
        <v>0</v>
      </c>
      <c r="E505">
        <f t="shared" si="15"/>
        <v>2.7386559845344093E-3</v>
      </c>
    </row>
    <row r="506" spans="1:5" x14ac:dyDescent="0.35">
      <c r="A506" s="1">
        <f>Calculs!A506</f>
        <v>44917</v>
      </c>
      <c r="B506">
        <f>Calculs!B506</f>
        <v>1787</v>
      </c>
      <c r="C506">
        <f>Calculs!C506</f>
        <v>1.0795638687616769</v>
      </c>
      <c r="D506">
        <f t="shared" si="14"/>
        <v>-1.6042989850930472E-2</v>
      </c>
      <c r="E506">
        <f t="shared" si="15"/>
        <v>-1.1872730138585222E-4</v>
      </c>
    </row>
    <row r="507" spans="1:5" x14ac:dyDescent="0.35">
      <c r="A507" s="1">
        <f>Calculs!A507</f>
        <v>44918</v>
      </c>
      <c r="B507">
        <f>Calculs!B507</f>
        <v>1795.9000244140625</v>
      </c>
      <c r="C507">
        <f>Calculs!C507</f>
        <v>1.0741138626703854</v>
      </c>
      <c r="D507">
        <f t="shared" si="14"/>
        <v>4.9680664595954851E-3</v>
      </c>
      <c r="E507">
        <f t="shared" si="15"/>
        <v>-5.0611265048976116E-3</v>
      </c>
    </row>
    <row r="508" spans="1:5" x14ac:dyDescent="0.35">
      <c r="A508" s="1">
        <f>Calculs!A508</f>
        <v>44922</v>
      </c>
      <c r="B508">
        <f>Calculs!B508</f>
        <v>1814.800048828125</v>
      </c>
      <c r="C508">
        <f>Calculs!C508</f>
        <v>1.0729498668278958</v>
      </c>
      <c r="D508">
        <f t="shared" si="14"/>
        <v>1.0468993076297851E-2</v>
      </c>
      <c r="E508">
        <f t="shared" si="15"/>
        <v>-1.0842677285578233E-3</v>
      </c>
    </row>
    <row r="509" spans="1:5" x14ac:dyDescent="0.35">
      <c r="A509" s="1">
        <f>Calculs!A509</f>
        <v>44923</v>
      </c>
      <c r="B509">
        <f>Calculs!B509</f>
        <v>1807.9000244140625</v>
      </c>
      <c r="C509">
        <f>Calculs!C509</f>
        <v>1.076194583379759</v>
      </c>
      <c r="D509">
        <f t="shared" si="14"/>
        <v>-3.8093315032526956E-3</v>
      </c>
      <c r="E509">
        <f t="shared" si="15"/>
        <v>3.0195448397140898E-3</v>
      </c>
    </row>
    <row r="510" spans="1:5" x14ac:dyDescent="0.35">
      <c r="A510" s="1">
        <f>Calculs!A510</f>
        <v>44924</v>
      </c>
      <c r="B510">
        <f>Calculs!B510</f>
        <v>1819.5</v>
      </c>
      <c r="C510">
        <f>Calculs!C510</f>
        <v>1.0779230616861271</v>
      </c>
      <c r="D510">
        <f t="shared" si="14"/>
        <v>6.3957738601456895E-3</v>
      </c>
      <c r="E510">
        <f t="shared" si="15"/>
        <v>1.6048136287182093E-3</v>
      </c>
    </row>
    <row r="511" spans="1:5" x14ac:dyDescent="0.35">
      <c r="A511" s="1">
        <f>Calculs!A511</f>
        <v>44925</v>
      </c>
      <c r="B511">
        <f>Calculs!B511</f>
        <v>1819.699951171875</v>
      </c>
      <c r="C511">
        <f>Calculs!C511</f>
        <v>1.0835997032588436</v>
      </c>
      <c r="D511">
        <f t="shared" si="14"/>
        <v>1.0988743391904061E-4</v>
      </c>
      <c r="E511">
        <f t="shared" si="15"/>
        <v>5.2524587901872557E-3</v>
      </c>
    </row>
    <row r="512" spans="1:5" x14ac:dyDescent="0.35">
      <c r="A512" s="1">
        <f>Calculs!A512</f>
        <v>44929</v>
      </c>
      <c r="B512">
        <f>Calculs!B512</f>
        <v>1839.699951171875</v>
      </c>
      <c r="C512">
        <f>Calculs!C512</f>
        <v>1.0822510532088843</v>
      </c>
      <c r="D512">
        <f t="shared" si="14"/>
        <v>1.0930862804251935E-2</v>
      </c>
      <c r="E512">
        <f t="shared" si="15"/>
        <v>-1.2453768757988532E-3</v>
      </c>
    </row>
    <row r="513" spans="1:5" x14ac:dyDescent="0.35">
      <c r="A513" s="1">
        <f>Calculs!A513</f>
        <v>44930</v>
      </c>
      <c r="B513">
        <f>Calculs!B513</f>
        <v>1852.800048828125</v>
      </c>
      <c r="C513">
        <f>Calculs!C513</f>
        <v>1.0686043844635826</v>
      </c>
      <c r="D513">
        <f t="shared" si="14"/>
        <v>7.0955464419848379E-3</v>
      </c>
      <c r="E513">
        <f t="shared" si="15"/>
        <v>-1.2689696974419958E-2</v>
      </c>
    </row>
    <row r="514" spans="1:5" x14ac:dyDescent="0.35">
      <c r="A514" s="1">
        <f>Calculs!A514</f>
        <v>44931</v>
      </c>
      <c r="B514">
        <f>Calculs!B514</f>
        <v>1834.800048828125</v>
      </c>
      <c r="C514">
        <f>Calculs!C514</f>
        <v>1.0757430847992926</v>
      </c>
      <c r="D514">
        <f t="shared" si="14"/>
        <v>-9.7625243971206383E-3</v>
      </c>
      <c r="E514">
        <f t="shared" si="15"/>
        <v>6.6581809248575227E-3</v>
      </c>
    </row>
    <row r="515" spans="1:5" x14ac:dyDescent="0.35">
      <c r="A515" s="1">
        <f>Calculs!A515</f>
        <v>44932</v>
      </c>
      <c r="B515">
        <f>Calculs!B515</f>
        <v>1864.199951171875</v>
      </c>
      <c r="C515">
        <f>Calculs!C515</f>
        <v>1.0685701496412052</v>
      </c>
      <c r="D515">
        <f t="shared" si="14"/>
        <v>1.589647009927115E-2</v>
      </c>
      <c r="E515">
        <f t="shared" si="15"/>
        <v>-6.6902183853773754E-3</v>
      </c>
    </row>
    <row r="516" spans="1:5" x14ac:dyDescent="0.35">
      <c r="A516" s="1">
        <f>Calculs!A516</f>
        <v>44935</v>
      </c>
      <c r="B516">
        <f>Calculs!B516</f>
        <v>1872.699951171875</v>
      </c>
      <c r="C516">
        <f>Calculs!C516</f>
        <v>1.0788999670617245</v>
      </c>
      <c r="D516">
        <f t="shared" ref="D516:D579" si="16">LN(B516/B515)</f>
        <v>4.5492332582912328E-3</v>
      </c>
      <c r="E516">
        <f t="shared" ref="E516:E579" si="17">LN(C516/C515)</f>
        <v>9.6205269751372512E-3</v>
      </c>
    </row>
    <row r="517" spans="1:5" x14ac:dyDescent="0.35">
      <c r="A517" s="1">
        <f>Calculs!A517</f>
        <v>44936</v>
      </c>
      <c r="B517">
        <f>Calculs!B517</f>
        <v>1871.5999755859375</v>
      </c>
      <c r="C517">
        <f>Calculs!C517</f>
        <v>1.0858588270959872</v>
      </c>
      <c r="D517">
        <f t="shared" si="16"/>
        <v>-5.875467452382744E-4</v>
      </c>
      <c r="E517">
        <f t="shared" si="17"/>
        <v>6.4292465502601426E-3</v>
      </c>
    </row>
    <row r="518" spans="1:5" x14ac:dyDescent="0.35">
      <c r="A518" s="1">
        <f>Calculs!A518</f>
        <v>44937</v>
      </c>
      <c r="B518">
        <f>Calculs!B518</f>
        <v>1874.5999755859375</v>
      </c>
      <c r="C518">
        <f>Calculs!C518</f>
        <v>1.0843164247554713</v>
      </c>
      <c r="D518">
        <f t="shared" si="16"/>
        <v>1.6016233411999265E-3</v>
      </c>
      <c r="E518">
        <f t="shared" si="17"/>
        <v>-1.4214544183988908E-3</v>
      </c>
    </row>
    <row r="519" spans="1:5" x14ac:dyDescent="0.35">
      <c r="A519" s="1">
        <f>Calculs!A519</f>
        <v>44938</v>
      </c>
      <c r="B519">
        <f>Calculs!B519</f>
        <v>1895.5</v>
      </c>
      <c r="C519">
        <f>Calculs!C519</f>
        <v>1.0742061560561922</v>
      </c>
      <c r="D519">
        <f t="shared" si="16"/>
        <v>1.108736566761589E-2</v>
      </c>
      <c r="E519">
        <f t="shared" si="17"/>
        <v>-9.3678358760169028E-3</v>
      </c>
    </row>
    <row r="520" spans="1:5" x14ac:dyDescent="0.35">
      <c r="A520" s="1">
        <f>Calculs!A520</f>
        <v>44939</v>
      </c>
      <c r="B520">
        <f>Calculs!B520</f>
        <v>1918.4000244140625</v>
      </c>
      <c r="C520">
        <f>Calculs!C520</f>
        <v>1.0785159395172295</v>
      </c>
      <c r="D520">
        <f t="shared" si="16"/>
        <v>1.2008862043122856E-2</v>
      </c>
      <c r="E520">
        <f t="shared" si="17"/>
        <v>4.0040367754668963E-3</v>
      </c>
    </row>
    <row r="521" spans="1:5" x14ac:dyDescent="0.35">
      <c r="A521" s="1">
        <f>Calculs!A521</f>
        <v>44943</v>
      </c>
      <c r="B521">
        <f>Calculs!B521</f>
        <v>1907.199951171875</v>
      </c>
      <c r="C521">
        <f>Calculs!C521</f>
        <v>1.0806254600505441</v>
      </c>
      <c r="D521">
        <f t="shared" si="16"/>
        <v>-5.8553457304772721E-3</v>
      </c>
      <c r="E521">
        <f t="shared" si="17"/>
        <v>1.9540371047137546E-3</v>
      </c>
    </row>
    <row r="522" spans="1:5" x14ac:dyDescent="0.35">
      <c r="A522" s="1">
        <f>Calculs!A522</f>
        <v>44944</v>
      </c>
      <c r="B522">
        <f>Calculs!B522</f>
        <v>1904.4000244140625</v>
      </c>
      <c r="C522">
        <f>Calculs!C522</f>
        <v>1.0846928132219487</v>
      </c>
      <c r="D522">
        <f t="shared" si="16"/>
        <v>-1.4691611288529948E-3</v>
      </c>
      <c r="E522">
        <f t="shared" si="17"/>
        <v>3.7568222698684543E-3</v>
      </c>
    </row>
    <row r="523" spans="1:5" x14ac:dyDescent="0.35">
      <c r="A523" s="1">
        <f>Calculs!A523</f>
        <v>44945</v>
      </c>
      <c r="B523">
        <f>Calculs!B523</f>
        <v>1922.0999755859375</v>
      </c>
      <c r="C523">
        <f>Calculs!C523</f>
        <v>1.091774586233041</v>
      </c>
      <c r="D523">
        <f t="shared" si="16"/>
        <v>9.2513144711382292E-3</v>
      </c>
      <c r="E523">
        <f t="shared" si="17"/>
        <v>6.507607699513732E-3</v>
      </c>
    </row>
    <row r="524" spans="1:5" x14ac:dyDescent="0.35">
      <c r="A524" s="1">
        <f>Calculs!A524</f>
        <v>44946</v>
      </c>
      <c r="B524">
        <f>Calculs!B524</f>
        <v>1926.4000244140625</v>
      </c>
      <c r="C524">
        <f>Calculs!C524</f>
        <v>1.0922993076420708</v>
      </c>
      <c r="D524">
        <f t="shared" si="16"/>
        <v>2.2346631765941872E-3</v>
      </c>
      <c r="E524">
        <f t="shared" si="17"/>
        <v>4.804978628212162E-4</v>
      </c>
    </row>
    <row r="525" spans="1:5" x14ac:dyDescent="0.35">
      <c r="A525" s="1">
        <f>Calculs!A525</f>
        <v>44949</v>
      </c>
      <c r="B525">
        <f>Calculs!B525</f>
        <v>1927.0999755859375</v>
      </c>
      <c r="C525">
        <f>Calculs!C525</f>
        <v>1.0870865154087039</v>
      </c>
      <c r="D525">
        <f t="shared" si="16"/>
        <v>3.6328074715077609E-4</v>
      </c>
      <c r="E525">
        <f t="shared" si="17"/>
        <v>-4.7837350496420204E-3</v>
      </c>
    </row>
    <row r="526" spans="1:5" x14ac:dyDescent="0.35">
      <c r="A526" s="1">
        <f>Calculs!A526</f>
        <v>44950</v>
      </c>
      <c r="B526">
        <f>Calculs!B526</f>
        <v>1933.9000244140625</v>
      </c>
      <c r="C526">
        <f>Calculs!C526</f>
        <v>1.0849870113005469</v>
      </c>
      <c r="D526">
        <f t="shared" si="16"/>
        <v>3.5224324574504432E-3</v>
      </c>
      <c r="E526">
        <f t="shared" si="17"/>
        <v>-1.9331801950469713E-3</v>
      </c>
    </row>
    <row r="527" spans="1:5" x14ac:dyDescent="0.35">
      <c r="A527" s="1">
        <f>Calculs!A527</f>
        <v>44951</v>
      </c>
      <c r="B527">
        <f>Calculs!B527</f>
        <v>1941.199951171875</v>
      </c>
      <c r="C527">
        <f>Calculs!C527</f>
        <v>1.0842459291700601</v>
      </c>
      <c r="D527">
        <f t="shared" si="16"/>
        <v>3.7676113849673129E-3</v>
      </c>
      <c r="E527">
        <f t="shared" si="17"/>
        <v>-6.8326655518827456E-4</v>
      </c>
    </row>
    <row r="528" spans="1:5" x14ac:dyDescent="0.35">
      <c r="A528" s="1">
        <f>Calculs!A528</f>
        <v>44952</v>
      </c>
      <c r="B528">
        <f>Calculs!B528</f>
        <v>1929.0999755859375</v>
      </c>
      <c r="C528">
        <f>Calculs!C528</f>
        <v>1.0905482012589016</v>
      </c>
      <c r="D528">
        <f t="shared" si="16"/>
        <v>-6.2527531393145016E-3</v>
      </c>
      <c r="E528">
        <f t="shared" si="17"/>
        <v>5.7957575314233831E-3</v>
      </c>
    </row>
    <row r="529" spans="1:5" x14ac:dyDescent="0.35">
      <c r="A529" s="1">
        <f>Calculs!A529</f>
        <v>44953</v>
      </c>
      <c r="B529">
        <f>Calculs!B529</f>
        <v>1928.5999755859375</v>
      </c>
      <c r="C529">
        <f>Calculs!C529</f>
        <v>1.0867202896881631</v>
      </c>
      <c r="D529">
        <f t="shared" si="16"/>
        <v>-2.5922182084070467E-4</v>
      </c>
      <c r="E529">
        <f t="shared" si="17"/>
        <v>-3.5162549136170188E-3</v>
      </c>
    </row>
    <row r="530" spans="1:5" x14ac:dyDescent="0.35">
      <c r="A530" s="1">
        <f>Calculs!A530</f>
        <v>44956</v>
      </c>
      <c r="B530">
        <f>Calculs!B530</f>
        <v>1922.9000244140625</v>
      </c>
      <c r="C530">
        <f>Calculs!C530</f>
        <v>1.0859414114415726</v>
      </c>
      <c r="D530">
        <f t="shared" si="16"/>
        <v>-2.9598625643060456E-3</v>
      </c>
      <c r="E530">
        <f t="shared" si="17"/>
        <v>-7.1698072419779677E-4</v>
      </c>
    </row>
    <row r="531" spans="1:5" x14ac:dyDescent="0.35">
      <c r="A531" s="1">
        <f>Calculs!A531</f>
        <v>44957</v>
      </c>
      <c r="B531">
        <f>Calculs!B531</f>
        <v>1929.5</v>
      </c>
      <c r="C531">
        <f>Calculs!C531</f>
        <v>1.08075396321812</v>
      </c>
      <c r="D531">
        <f t="shared" si="16"/>
        <v>3.4264261246514465E-3</v>
      </c>
      <c r="E531">
        <f t="shared" si="17"/>
        <v>-4.7883594489280742E-3</v>
      </c>
    </row>
    <row r="532" spans="1:5" x14ac:dyDescent="0.35">
      <c r="A532" s="1">
        <f>Calculs!A532</f>
        <v>44958</v>
      </c>
      <c r="B532">
        <f>Calculs!B532</f>
        <v>1927.800048828125</v>
      </c>
      <c r="C532">
        <f>Calculs!C532</f>
        <v>1.0914051955344624</v>
      </c>
      <c r="D532">
        <f t="shared" si="16"/>
        <v>-8.8142029938764104E-4</v>
      </c>
      <c r="E532">
        <f t="shared" si="17"/>
        <v>9.8071245310363299E-3</v>
      </c>
    </row>
    <row r="533" spans="1:5" x14ac:dyDescent="0.35">
      <c r="A533" s="1">
        <f>Calculs!A533</f>
        <v>44959</v>
      </c>
      <c r="B533">
        <f>Calculs!B533</f>
        <v>1916.300048828125</v>
      </c>
      <c r="C533">
        <f>Calculs!C533</f>
        <v>1.1022198699624612</v>
      </c>
      <c r="D533">
        <f t="shared" si="16"/>
        <v>-5.9832127234186521E-3</v>
      </c>
      <c r="E533">
        <f t="shared" si="17"/>
        <v>9.8601736619198539E-3</v>
      </c>
    </row>
    <row r="534" spans="1:5" x14ac:dyDescent="0.35">
      <c r="A534" s="1">
        <f>Calculs!A534</f>
        <v>44960</v>
      </c>
      <c r="B534">
        <f>Calculs!B534</f>
        <v>1862.9000244140625</v>
      </c>
      <c r="C534">
        <f>Calculs!C534</f>
        <v>1.0950503473869839</v>
      </c>
      <c r="D534">
        <f t="shared" si="16"/>
        <v>-2.8261842553797479E-2</v>
      </c>
      <c r="E534">
        <f t="shared" si="17"/>
        <v>-6.525868291356784E-3</v>
      </c>
    </row>
    <row r="535" spans="1:5" x14ac:dyDescent="0.35">
      <c r="A535" s="1">
        <f>Calculs!A535</f>
        <v>44963</v>
      </c>
      <c r="B535">
        <f>Calculs!B535</f>
        <v>1866.199951171875</v>
      </c>
      <c r="C535">
        <f>Calculs!C535</f>
        <v>1.0795289281330098</v>
      </c>
      <c r="D535">
        <f t="shared" si="16"/>
        <v>1.7698252343863036E-3</v>
      </c>
      <c r="E535">
        <f t="shared" si="17"/>
        <v>-1.4275573231925532E-2</v>
      </c>
    </row>
    <row r="536" spans="1:5" x14ac:dyDescent="0.35">
      <c r="A536" s="1">
        <f>Calculs!A536</f>
        <v>44964</v>
      </c>
      <c r="B536">
        <f>Calculs!B536</f>
        <v>1871.699951171875</v>
      </c>
      <c r="C536">
        <f>Calculs!C536</f>
        <v>1.0777372113900652</v>
      </c>
      <c r="D536">
        <f t="shared" si="16"/>
        <v>2.9428310618131773E-3</v>
      </c>
      <c r="E536">
        <f t="shared" si="17"/>
        <v>-1.6610997800428923E-3</v>
      </c>
    </row>
    <row r="537" spans="1:5" x14ac:dyDescent="0.35">
      <c r="A537" s="1">
        <f>Calculs!A537</f>
        <v>44965</v>
      </c>
      <c r="B537">
        <f>Calculs!B537</f>
        <v>1877.4000244140625</v>
      </c>
      <c r="C537">
        <f>Calculs!C537</f>
        <v>1.085010587722562</v>
      </c>
      <c r="D537">
        <f t="shared" si="16"/>
        <v>3.0407712098100251E-3</v>
      </c>
      <c r="E537">
        <f t="shared" si="17"/>
        <v>6.7260766661320212E-3</v>
      </c>
    </row>
    <row r="538" spans="1:5" x14ac:dyDescent="0.35">
      <c r="A538" s="1">
        <f>Calculs!A538</f>
        <v>44966</v>
      </c>
      <c r="B538">
        <f>Calculs!B538</f>
        <v>1866.199951171875</v>
      </c>
      <c r="C538">
        <f>Calculs!C538</f>
        <v>1.0858824414221957</v>
      </c>
      <c r="D538">
        <f t="shared" si="16"/>
        <v>-5.9836022716233082E-3</v>
      </c>
      <c r="E538">
        <f t="shared" si="17"/>
        <v>8.0322128709514671E-4</v>
      </c>
    </row>
    <row r="539" spans="1:5" x14ac:dyDescent="0.35">
      <c r="A539" s="1">
        <f>Calculs!A539</f>
        <v>44967</v>
      </c>
      <c r="B539">
        <f>Calculs!B539</f>
        <v>1862.800048828125</v>
      </c>
      <c r="C539">
        <f>Calculs!C539</f>
        <v>1.0846292806570299</v>
      </c>
      <c r="D539">
        <f t="shared" si="16"/>
        <v>-1.8234933150134012E-3</v>
      </c>
      <c r="E539">
        <f t="shared" si="17"/>
        <v>-1.1547147077453984E-3</v>
      </c>
    </row>
    <row r="540" spans="1:5" x14ac:dyDescent="0.35">
      <c r="A540" s="1">
        <f>Calculs!A540</f>
        <v>44970</v>
      </c>
      <c r="B540">
        <f>Calculs!B540</f>
        <v>1851.9000244140625</v>
      </c>
      <c r="C540">
        <f>Calculs!C540</f>
        <v>1.0824971300678048</v>
      </c>
      <c r="D540">
        <f t="shared" si="16"/>
        <v>-5.8686060692318973E-3</v>
      </c>
      <c r="E540">
        <f t="shared" si="17"/>
        <v>-1.9677221103806619E-3</v>
      </c>
    </row>
    <row r="541" spans="1:5" x14ac:dyDescent="0.35">
      <c r="A541" s="1">
        <f>Calculs!A541</f>
        <v>44971</v>
      </c>
      <c r="B541">
        <f>Calculs!B541</f>
        <v>1854</v>
      </c>
      <c r="C541">
        <f>Calculs!C541</f>
        <v>1.0885894172848152</v>
      </c>
      <c r="D541">
        <f t="shared" si="16"/>
        <v>1.1333148745895825E-3</v>
      </c>
      <c r="E541">
        <f t="shared" si="17"/>
        <v>5.6122158880722159E-3</v>
      </c>
    </row>
    <row r="542" spans="1:5" x14ac:dyDescent="0.35">
      <c r="A542" s="1">
        <f>Calculs!A542</f>
        <v>44972</v>
      </c>
      <c r="B542">
        <f>Calculs!B542</f>
        <v>1834.199951171875</v>
      </c>
      <c r="C542">
        <f>Calculs!C542</f>
        <v>1.0851518572111962</v>
      </c>
      <c r="D542">
        <f t="shared" si="16"/>
        <v>-1.07370746218953E-2</v>
      </c>
      <c r="E542">
        <f t="shared" si="17"/>
        <v>-3.1628078093235055E-3</v>
      </c>
    </row>
    <row r="543" spans="1:5" x14ac:dyDescent="0.35">
      <c r="A543" s="1">
        <f>Calculs!A543</f>
        <v>44973</v>
      </c>
      <c r="B543">
        <f>Calculs!B543</f>
        <v>1842</v>
      </c>
      <c r="C543">
        <f>Calculs!C543</f>
        <v>1.0830012245496052</v>
      </c>
      <c r="D543">
        <f t="shared" si="16"/>
        <v>4.2435453113469548E-3</v>
      </c>
      <c r="E543">
        <f t="shared" si="17"/>
        <v>-1.9838390425672837E-3</v>
      </c>
    </row>
    <row r="544" spans="1:5" x14ac:dyDescent="0.35">
      <c r="A544" s="1">
        <f>Calculs!A544</f>
        <v>44974</v>
      </c>
      <c r="B544">
        <f>Calculs!B544</f>
        <v>1840.4000244140625</v>
      </c>
      <c r="C544">
        <f>Calculs!C544</f>
        <v>1.0793773828410993</v>
      </c>
      <c r="D544">
        <f t="shared" si="16"/>
        <v>-8.6898526831033832E-4</v>
      </c>
      <c r="E544">
        <f t="shared" si="17"/>
        <v>-3.351721191330554E-3</v>
      </c>
    </row>
    <row r="545" spans="1:5" x14ac:dyDescent="0.35">
      <c r="A545" s="1">
        <f>Calculs!A545</f>
        <v>44978</v>
      </c>
      <c r="B545">
        <f>Calculs!B545</f>
        <v>1833</v>
      </c>
      <c r="C545">
        <f>Calculs!C545</f>
        <v>1.0832123932829687</v>
      </c>
      <c r="D545">
        <f t="shared" si="16"/>
        <v>-4.0289837072367907E-3</v>
      </c>
      <c r="E545">
        <f t="shared" si="17"/>
        <v>3.5466869438251351E-3</v>
      </c>
    </row>
    <row r="546" spans="1:5" x14ac:dyDescent="0.35">
      <c r="A546" s="1">
        <f>Calculs!A546</f>
        <v>44979</v>
      </c>
      <c r="B546">
        <f>Calculs!B546</f>
        <v>1832</v>
      </c>
      <c r="C546">
        <f>Calculs!C546</f>
        <v>1.078167104817032</v>
      </c>
      <c r="D546">
        <f t="shared" si="16"/>
        <v>-5.4570260562946402E-4</v>
      </c>
      <c r="E546">
        <f t="shared" si="17"/>
        <v>-4.6685902537547241E-3</v>
      </c>
    </row>
    <row r="547" spans="1:5" x14ac:dyDescent="0.35">
      <c r="A547" s="1">
        <f>Calculs!A547</f>
        <v>44980</v>
      </c>
      <c r="B547">
        <f>Calculs!B547</f>
        <v>1818</v>
      </c>
      <c r="C547">
        <f>Calculs!C547</f>
        <v>1.07383700891247</v>
      </c>
      <c r="D547">
        <f t="shared" si="16"/>
        <v>-7.6712704966514795E-3</v>
      </c>
      <c r="E547">
        <f t="shared" si="17"/>
        <v>-4.0242504376388844E-3</v>
      </c>
    </row>
    <row r="548" spans="1:5" x14ac:dyDescent="0.35">
      <c r="A548" s="1">
        <f>Calculs!A548</f>
        <v>44981</v>
      </c>
      <c r="B548">
        <f>Calculs!B548</f>
        <v>1808.800048828125</v>
      </c>
      <c r="C548">
        <f>Calculs!C548</f>
        <v>1.0710192758644441</v>
      </c>
      <c r="D548">
        <f t="shared" si="16"/>
        <v>-5.0733267789026528E-3</v>
      </c>
      <c r="E548">
        <f t="shared" si="17"/>
        <v>-2.6274344710386023E-3</v>
      </c>
    </row>
    <row r="549" spans="1:5" x14ac:dyDescent="0.35">
      <c r="A549" s="1">
        <f>Calculs!A549</f>
        <v>44984</v>
      </c>
      <c r="B549">
        <f>Calculs!B549</f>
        <v>1817</v>
      </c>
      <c r="C549">
        <f>Calculs!C549</f>
        <v>1.0637958603484883</v>
      </c>
      <c r="D549">
        <f t="shared" si="16"/>
        <v>4.5231204376497414E-3</v>
      </c>
      <c r="E549">
        <f t="shared" si="17"/>
        <v>-6.7672773725374943E-3</v>
      </c>
    </row>
    <row r="550" spans="1:5" x14ac:dyDescent="0.35">
      <c r="A550" s="1">
        <f>Calculs!A550</f>
        <v>44985</v>
      </c>
      <c r="B550">
        <f>Calculs!B550</f>
        <v>1828.9000244140625</v>
      </c>
      <c r="C550">
        <f>Calculs!C550</f>
        <v>1.0688328542642838</v>
      </c>
      <c r="D550">
        <f t="shared" si="16"/>
        <v>6.5279171634006284E-3</v>
      </c>
      <c r="E550">
        <f t="shared" si="17"/>
        <v>4.7237507846478732E-3</v>
      </c>
    </row>
    <row r="551" spans="1:5" x14ac:dyDescent="0.35">
      <c r="A551" s="1">
        <f>Calculs!A551</f>
        <v>44986</v>
      </c>
      <c r="B551">
        <f>Calculs!B551</f>
        <v>1837.699951171875</v>
      </c>
      <c r="C551">
        <f>Calculs!C551</f>
        <v>1.0617198932054028</v>
      </c>
      <c r="D551">
        <f t="shared" si="16"/>
        <v>4.8000565715693279E-3</v>
      </c>
      <c r="E551">
        <f t="shared" si="17"/>
        <v>-6.6771287351216338E-3</v>
      </c>
    </row>
    <row r="552" spans="1:5" x14ac:dyDescent="0.35">
      <c r="A552" s="1">
        <f>Calculs!A552</f>
        <v>44987</v>
      </c>
      <c r="B552">
        <f>Calculs!B552</f>
        <v>1833.5</v>
      </c>
      <c r="C552">
        <f>Calculs!C552</f>
        <v>1.0644299523445804</v>
      </c>
      <c r="D552">
        <f t="shared" si="16"/>
        <v>-2.2880546197603423E-3</v>
      </c>
      <c r="E552">
        <f t="shared" si="17"/>
        <v>2.549265859617044E-3</v>
      </c>
    </row>
    <row r="553" spans="1:5" x14ac:dyDescent="0.35">
      <c r="A553" s="1">
        <f>Calculs!A553</f>
        <v>44988</v>
      </c>
      <c r="B553">
        <f>Calculs!B553</f>
        <v>1847.699951171875</v>
      </c>
      <c r="C553">
        <f>Calculs!C553</f>
        <v>1.0617176759636593</v>
      </c>
      <c r="D553">
        <f t="shared" si="16"/>
        <v>7.7148874232907012E-3</v>
      </c>
      <c r="E553">
        <f t="shared" si="17"/>
        <v>-2.5513542108600061E-3</v>
      </c>
    </row>
    <row r="554" spans="1:5" x14ac:dyDescent="0.35">
      <c r="A554" s="1">
        <f>Calculs!A554</f>
        <v>44991</v>
      </c>
      <c r="B554">
        <f>Calculs!B554</f>
        <v>1847.9000244140625</v>
      </c>
      <c r="C554">
        <f>Calculs!C554</f>
        <v>1.0674637027565748</v>
      </c>
      <c r="D554">
        <f t="shared" si="16"/>
        <v>1.0827646049621364E-4</v>
      </c>
      <c r="E554">
        <f t="shared" si="17"/>
        <v>5.3974178055765411E-3</v>
      </c>
    </row>
    <row r="555" spans="1:5" x14ac:dyDescent="0.35">
      <c r="A555" s="1">
        <f>Calculs!A555</f>
        <v>44992</v>
      </c>
      <c r="B555">
        <f>Calculs!B555</f>
        <v>1813.9000244140625</v>
      </c>
      <c r="C555">
        <f>Calculs!C555</f>
        <v>1.0744716395206548</v>
      </c>
      <c r="D555">
        <f t="shared" si="16"/>
        <v>-1.8570635571812499E-2</v>
      </c>
      <c r="E555">
        <f t="shared" si="17"/>
        <v>6.5435791935235521E-3</v>
      </c>
    </row>
    <row r="556" spans="1:5" x14ac:dyDescent="0.35">
      <c r="A556" s="1">
        <f>Calculs!A556</f>
        <v>44993</v>
      </c>
      <c r="B556">
        <f>Calculs!B556</f>
        <v>1812.699951171875</v>
      </c>
      <c r="C556">
        <f>Calculs!C556</f>
        <v>1.061312009441298</v>
      </c>
      <c r="D556">
        <f t="shared" si="16"/>
        <v>-6.618172911648265E-4</v>
      </c>
      <c r="E556">
        <f t="shared" si="17"/>
        <v>-1.2323155129141491E-2</v>
      </c>
    </row>
    <row r="557" spans="1:5" x14ac:dyDescent="0.35">
      <c r="A557" s="1">
        <f>Calculs!A557</f>
        <v>44994</v>
      </c>
      <c r="B557">
        <f>Calculs!B557</f>
        <v>1829.300048828125</v>
      </c>
      <c r="C557">
        <f>Calculs!C557</f>
        <v>1.0628461039307822</v>
      </c>
      <c r="D557">
        <f t="shared" si="16"/>
        <v>9.1159871573076867E-3</v>
      </c>
      <c r="E557">
        <f t="shared" si="17"/>
        <v>1.4444261437510531E-3</v>
      </c>
    </row>
    <row r="558" spans="1:5" x14ac:dyDescent="0.35">
      <c r="A558" s="1">
        <f>Calculs!A558</f>
        <v>44995</v>
      </c>
      <c r="B558">
        <f>Calculs!B558</f>
        <v>1862</v>
      </c>
      <c r="C558">
        <f>Calculs!C558</f>
        <v>1.0719837021215637</v>
      </c>
      <c r="D558">
        <f t="shared" si="16"/>
        <v>1.7717772147514535E-2</v>
      </c>
      <c r="E558">
        <f t="shared" si="17"/>
        <v>8.5605456391080175E-3</v>
      </c>
    </row>
    <row r="559" spans="1:5" x14ac:dyDescent="0.35">
      <c r="A559" s="1">
        <f>Calculs!A559</f>
        <v>44998</v>
      </c>
      <c r="B559">
        <f>Calculs!B559</f>
        <v>1911.699951171875</v>
      </c>
      <c r="C559">
        <f>Calculs!C559</f>
        <v>1.0888501865403444</v>
      </c>
      <c r="D559">
        <f t="shared" si="16"/>
        <v>2.6341694156230083E-2</v>
      </c>
      <c r="E559">
        <f t="shared" si="17"/>
        <v>1.5611405447257469E-2</v>
      </c>
    </row>
    <row r="560" spans="1:5" x14ac:dyDescent="0.35">
      <c r="A560" s="1">
        <f>Calculs!A560</f>
        <v>44999</v>
      </c>
      <c r="B560">
        <f>Calculs!B560</f>
        <v>1906.199951171875</v>
      </c>
      <c r="C560">
        <f>Calculs!C560</f>
        <v>1.0959011915755239</v>
      </c>
      <c r="D560">
        <f t="shared" si="16"/>
        <v>-2.8811671051432153E-3</v>
      </c>
      <c r="E560">
        <f t="shared" si="17"/>
        <v>6.4547660542827118E-3</v>
      </c>
    </row>
    <row r="561" spans="1:5" x14ac:dyDescent="0.35">
      <c r="A561" s="1">
        <f>Calculs!A561</f>
        <v>45000</v>
      </c>
      <c r="B561">
        <f>Calculs!B561</f>
        <v>1926.5999755859375</v>
      </c>
      <c r="C561">
        <f>Calculs!C561</f>
        <v>1.0934937146918247</v>
      </c>
      <c r="D561">
        <f t="shared" si="16"/>
        <v>1.0645072763326822E-2</v>
      </c>
      <c r="E561">
        <f t="shared" si="17"/>
        <v>-2.1992175528796924E-3</v>
      </c>
    </row>
    <row r="562" spans="1:5" x14ac:dyDescent="0.35">
      <c r="A562" s="1">
        <f>Calculs!A562</f>
        <v>45001</v>
      </c>
      <c r="B562">
        <f>Calculs!B562</f>
        <v>1919</v>
      </c>
      <c r="C562">
        <f>Calculs!C562</f>
        <v>1.0740792739299663</v>
      </c>
      <c r="D562">
        <f t="shared" si="16"/>
        <v>-3.9525616437260866E-3</v>
      </c>
      <c r="E562">
        <f t="shared" si="17"/>
        <v>-1.7914008021323171E-2</v>
      </c>
    </row>
    <row r="563" spans="1:5" x14ac:dyDescent="0.35">
      <c r="A563" s="1">
        <f>Calculs!A563</f>
        <v>45002</v>
      </c>
      <c r="B563">
        <f>Calculs!B563</f>
        <v>1969.800048828125</v>
      </c>
      <c r="C563">
        <f>Calculs!C563</f>
        <v>1.0762293084958092</v>
      </c>
      <c r="D563">
        <f t="shared" si="16"/>
        <v>2.6127822516268665E-2</v>
      </c>
      <c r="E563">
        <f t="shared" si="17"/>
        <v>1.9997458038449661E-3</v>
      </c>
    </row>
    <row r="564" spans="1:5" x14ac:dyDescent="0.35">
      <c r="A564" s="1">
        <f>Calculs!A564</f>
        <v>45005</v>
      </c>
      <c r="B564">
        <f>Calculs!B564</f>
        <v>1979.199951171875</v>
      </c>
      <c r="C564">
        <f>Calculs!C564</f>
        <v>1.0790513089141276</v>
      </c>
      <c r="D564">
        <f t="shared" si="16"/>
        <v>4.7606584436176011E-3</v>
      </c>
      <c r="E564">
        <f t="shared" si="17"/>
        <v>2.6186864097254869E-3</v>
      </c>
    </row>
    <row r="565" spans="1:5" x14ac:dyDescent="0.35">
      <c r="A565" s="1">
        <f>Calculs!A565</f>
        <v>45006</v>
      </c>
      <c r="B565">
        <f>Calculs!B565</f>
        <v>1938</v>
      </c>
      <c r="C565">
        <f>Calculs!C565</f>
        <v>1.076194583379759</v>
      </c>
      <c r="D565">
        <f t="shared" si="16"/>
        <v>-2.1036184516874452E-2</v>
      </c>
      <c r="E565">
        <f t="shared" si="17"/>
        <v>-2.6509524667826987E-3</v>
      </c>
    </row>
    <row r="566" spans="1:5" x14ac:dyDescent="0.35">
      <c r="A566" s="1">
        <f>Calculs!A566</f>
        <v>45007</v>
      </c>
      <c r="B566">
        <f>Calculs!B566</f>
        <v>1946.800048828125</v>
      </c>
      <c r="C566">
        <f>Calculs!C566</f>
        <v>1.0852225408499168</v>
      </c>
      <c r="D566">
        <f t="shared" si="16"/>
        <v>4.5305105898103123E-3</v>
      </c>
      <c r="E566">
        <f t="shared" si="17"/>
        <v>8.3537877726660541E-3</v>
      </c>
    </row>
    <row r="567" spans="1:5" x14ac:dyDescent="0.35">
      <c r="A567" s="1">
        <f>Calculs!A567</f>
        <v>45008</v>
      </c>
      <c r="B567">
        <f>Calculs!B567</f>
        <v>1993.800048828125</v>
      </c>
      <c r="C567">
        <f>Calculs!C567</f>
        <v>1.0910836648857418</v>
      </c>
      <c r="D567">
        <f t="shared" si="16"/>
        <v>2.3855366038062705E-2</v>
      </c>
      <c r="E567">
        <f t="shared" si="17"/>
        <v>5.3863175970543138E-3</v>
      </c>
    </row>
    <row r="568" spans="1:5" x14ac:dyDescent="0.35">
      <c r="A568" s="1">
        <f>Calculs!A568</f>
        <v>45009</v>
      </c>
      <c r="B568">
        <f>Calculs!B568</f>
        <v>1982.0999755859375</v>
      </c>
      <c r="C568">
        <f>Calculs!C568</f>
        <v>1.0912265203460685</v>
      </c>
      <c r="D568">
        <f t="shared" si="16"/>
        <v>-5.8855136919059216E-3</v>
      </c>
      <c r="E568">
        <f t="shared" si="17"/>
        <v>1.3092131585832952E-4</v>
      </c>
    </row>
    <row r="569" spans="1:5" x14ac:dyDescent="0.35">
      <c r="A569" s="1">
        <f>Calculs!A569</f>
        <v>45012</v>
      </c>
      <c r="B569">
        <f>Calculs!B569</f>
        <v>1952.4000244140625</v>
      </c>
      <c r="C569">
        <f>Calculs!C569</f>
        <v>1.0870746819179569</v>
      </c>
      <c r="D569">
        <f t="shared" si="16"/>
        <v>-1.5097478869044783E-2</v>
      </c>
      <c r="E569">
        <f t="shared" si="17"/>
        <v>-3.8120012525796622E-3</v>
      </c>
    </row>
    <row r="570" spans="1:5" x14ac:dyDescent="0.35">
      <c r="A570" s="1">
        <f>Calculs!A570</f>
        <v>45013</v>
      </c>
      <c r="B570">
        <f>Calculs!B570</f>
        <v>1972.4000244140625</v>
      </c>
      <c r="C570">
        <f>Calculs!C570</f>
        <v>1.0928723000662868</v>
      </c>
      <c r="D570">
        <f t="shared" si="16"/>
        <v>1.019169021018235E-2</v>
      </c>
      <c r="E570">
        <f t="shared" si="17"/>
        <v>5.3190576332989613E-3</v>
      </c>
    </row>
    <row r="571" spans="1:5" x14ac:dyDescent="0.35">
      <c r="A571" s="1">
        <f>Calculs!A571</f>
        <v>45014</v>
      </c>
      <c r="B571">
        <f>Calculs!B571</f>
        <v>1966.0999755859375</v>
      </c>
      <c r="C571">
        <f>Calculs!C571</f>
        <v>1.0864841096378326</v>
      </c>
      <c r="D571">
        <f t="shared" si="16"/>
        <v>-3.1992150318794522E-3</v>
      </c>
      <c r="E571">
        <f t="shared" si="17"/>
        <v>-5.8624726970659697E-3</v>
      </c>
    </row>
    <row r="572" spans="1:5" x14ac:dyDescent="0.35">
      <c r="A572" s="1">
        <f>Calculs!A572</f>
        <v>45015</v>
      </c>
      <c r="B572">
        <f>Calculs!B572</f>
        <v>1980.300048828125</v>
      </c>
      <c r="C572">
        <f>Calculs!C572</f>
        <v>1.0892059695275556</v>
      </c>
      <c r="D572">
        <f t="shared" si="16"/>
        <v>7.1965003238306617E-3</v>
      </c>
      <c r="E572">
        <f t="shared" si="17"/>
        <v>2.5020671241445568E-3</v>
      </c>
    </row>
    <row r="573" spans="1:5" x14ac:dyDescent="0.35">
      <c r="A573" s="1">
        <f>Calculs!A573</f>
        <v>45016</v>
      </c>
      <c r="B573">
        <f>Calculs!B573</f>
        <v>1969</v>
      </c>
      <c r="C573">
        <f>Calculs!C573</f>
        <v>1.0948345383514746</v>
      </c>
      <c r="D573">
        <f t="shared" si="16"/>
        <v>-5.7225733806422849E-3</v>
      </c>
      <c r="E573">
        <f t="shared" si="17"/>
        <v>5.1542828666573896E-3</v>
      </c>
    </row>
    <row r="574" spans="1:5" x14ac:dyDescent="0.35">
      <c r="A574" s="1">
        <f>Calculs!A574</f>
        <v>45019</v>
      </c>
      <c r="B574">
        <f>Calculs!B574</f>
        <v>1983.9000244140625</v>
      </c>
      <c r="C574">
        <f>Calculs!C574</f>
        <v>1.0899064090570012</v>
      </c>
      <c r="D574">
        <f t="shared" si="16"/>
        <v>7.5388170156960761E-3</v>
      </c>
      <c r="E574">
        <f t="shared" si="17"/>
        <v>-4.5114160182539971E-3</v>
      </c>
    </row>
    <row r="575" spans="1:5" x14ac:dyDescent="0.35">
      <c r="A575" s="1">
        <f>Calculs!A575</f>
        <v>45020</v>
      </c>
      <c r="B575">
        <f>Calculs!B575</f>
        <v>2022.199951171875</v>
      </c>
      <c r="C575">
        <f>Calculs!C575</f>
        <v>1.095638250859595</v>
      </c>
      <c r="D575">
        <f t="shared" si="16"/>
        <v>1.9121386856435451E-2</v>
      </c>
      <c r="E575">
        <f t="shared" si="17"/>
        <v>5.2452416545692099E-3</v>
      </c>
    </row>
    <row r="576" spans="1:5" x14ac:dyDescent="0.35">
      <c r="A576" s="1">
        <f>Calculs!A576</f>
        <v>45021</v>
      </c>
      <c r="B576">
        <f>Calculs!B576</f>
        <v>2020.9000244140625</v>
      </c>
      <c r="C576">
        <f>Calculs!C576</f>
        <v>1.104484232517106</v>
      </c>
      <c r="D576">
        <f t="shared" si="16"/>
        <v>-6.4303470626731786E-4</v>
      </c>
      <c r="E576">
        <f t="shared" si="17"/>
        <v>8.0413971425624241E-3</v>
      </c>
    </row>
    <row r="577" spans="1:5" x14ac:dyDescent="0.35">
      <c r="A577" s="1">
        <f>Calculs!A577</f>
        <v>45022</v>
      </c>
      <c r="B577">
        <f>Calculs!B577</f>
        <v>2011.9000244140625</v>
      </c>
      <c r="C577">
        <f>Calculs!C577</f>
        <v>1.1033143921520943</v>
      </c>
      <c r="D577">
        <f t="shared" si="16"/>
        <v>-4.4634074749701257E-3</v>
      </c>
      <c r="E577">
        <f t="shared" si="17"/>
        <v>-1.0597347615145419E-3</v>
      </c>
    </row>
    <row r="578" spans="1:5" x14ac:dyDescent="0.35">
      <c r="A578" s="1">
        <f>Calculs!A578</f>
        <v>45026</v>
      </c>
      <c r="B578">
        <f>Calculs!B578</f>
        <v>1989.0999755859375</v>
      </c>
      <c r="C578">
        <f>Calculs!C578</f>
        <v>1.1058644070947108</v>
      </c>
      <c r="D578">
        <f t="shared" si="16"/>
        <v>-1.1397298492928634E-2</v>
      </c>
      <c r="E578">
        <f t="shared" si="17"/>
        <v>2.308564681143098E-3</v>
      </c>
    </row>
    <row r="579" spans="1:5" x14ac:dyDescent="0.35">
      <c r="A579" s="1">
        <f>Calculs!A579</f>
        <v>45027</v>
      </c>
      <c r="B579">
        <f>Calculs!B579</f>
        <v>2004.800048828125</v>
      </c>
      <c r="C579">
        <f>Calculs!C579</f>
        <v>1.1003399814603265</v>
      </c>
      <c r="D579">
        <f t="shared" si="16"/>
        <v>7.8620666603218155E-3</v>
      </c>
      <c r="E579">
        <f t="shared" si="17"/>
        <v>-5.0080919152740676E-3</v>
      </c>
    </row>
    <row r="580" spans="1:5" x14ac:dyDescent="0.35">
      <c r="A580" s="1">
        <f>Calculs!A580</f>
        <v>45028</v>
      </c>
      <c r="B580">
        <f>Calculs!B580</f>
        <v>2010.9000244140625</v>
      </c>
      <c r="C580">
        <f>Calculs!C580</f>
        <v>1.1075423873598278</v>
      </c>
      <c r="D580">
        <f t="shared" ref="D580:D643" si="18">LN(B580/B579)</f>
        <v>3.0380656754726365E-3</v>
      </c>
      <c r="E580">
        <f t="shared" ref="E580:E643" si="19">LN(C580/C579)</f>
        <v>6.5242891102710058E-3</v>
      </c>
    </row>
    <row r="581" spans="1:5" x14ac:dyDescent="0.35">
      <c r="A581" s="1">
        <f>Calculs!A581</f>
        <v>45029</v>
      </c>
      <c r="B581">
        <f>Calculs!B581</f>
        <v>2041.300048828125</v>
      </c>
      <c r="C581">
        <f>Calculs!C581</f>
        <v>1.1163542629485146</v>
      </c>
      <c r="D581">
        <f t="shared" si="18"/>
        <v>1.5004488526765062E-2</v>
      </c>
      <c r="E581">
        <f t="shared" si="19"/>
        <v>7.9247582878605501E-3</v>
      </c>
    </row>
    <row r="582" spans="1:5" x14ac:dyDescent="0.35">
      <c r="A582" s="1">
        <f>Calculs!A582</f>
        <v>45030</v>
      </c>
      <c r="B582">
        <f>Calculs!B582</f>
        <v>2002.199951171875</v>
      </c>
      <c r="C582">
        <f>Calculs!C582</f>
        <v>1.1248593943859666</v>
      </c>
      <c r="D582">
        <f t="shared" si="18"/>
        <v>-1.9340332101503831E-2</v>
      </c>
      <c r="E582">
        <f t="shared" si="19"/>
        <v>7.5897915736045148E-3</v>
      </c>
    </row>
    <row r="583" spans="1:5" x14ac:dyDescent="0.35">
      <c r="A583" s="1">
        <f>Calculs!A583</f>
        <v>45033</v>
      </c>
      <c r="B583">
        <f>Calculs!B583</f>
        <v>1994.199951171875</v>
      </c>
      <c r="C583">
        <f>Calculs!C583</f>
        <v>1.1175681624870031</v>
      </c>
      <c r="D583">
        <f t="shared" si="18"/>
        <v>-4.0036086885234141E-3</v>
      </c>
      <c r="E583">
        <f t="shared" si="19"/>
        <v>-6.503003917823949E-3</v>
      </c>
    </row>
    <row r="584" spans="1:5" x14ac:dyDescent="0.35">
      <c r="A584" s="1">
        <f>Calculs!A584</f>
        <v>45034</v>
      </c>
      <c r="B584">
        <f>Calculs!B584</f>
        <v>2007.4000244140625</v>
      </c>
      <c r="C584">
        <f>Calculs!C584</f>
        <v>1.1129536934435487</v>
      </c>
      <c r="D584">
        <f t="shared" si="18"/>
        <v>6.5974216321085313E-3</v>
      </c>
      <c r="E584">
        <f t="shared" si="19"/>
        <v>-4.1375749036580397E-3</v>
      </c>
    </row>
    <row r="585" spans="1:5" x14ac:dyDescent="0.35">
      <c r="A585" s="1">
        <f>Calculs!A585</f>
        <v>45035</v>
      </c>
      <c r="B585">
        <f>Calculs!B585</f>
        <v>1995.199951171875</v>
      </c>
      <c r="C585">
        <f>Calculs!C585</f>
        <v>1.1161959902354566</v>
      </c>
      <c r="D585">
        <f t="shared" si="18"/>
        <v>-6.0960930887571487E-3</v>
      </c>
      <c r="E585">
        <f t="shared" si="19"/>
        <v>2.9090007746749289E-3</v>
      </c>
    </row>
    <row r="586" spans="1:5" x14ac:dyDescent="0.35">
      <c r="A586" s="1">
        <f>Calculs!A586</f>
        <v>45036</v>
      </c>
      <c r="B586">
        <f>Calculs!B586</f>
        <v>2007.5999755859375</v>
      </c>
      <c r="C586">
        <f>Calculs!C586</f>
        <v>1.1139578778356443</v>
      </c>
      <c r="D586">
        <f t="shared" si="18"/>
        <v>6.195695166983959E-3</v>
      </c>
      <c r="E586">
        <f t="shared" si="19"/>
        <v>-2.0071378779977778E-3</v>
      </c>
    </row>
    <row r="587" spans="1:5" x14ac:dyDescent="0.35">
      <c r="A587" s="1">
        <f>Calculs!A587</f>
        <v>45037</v>
      </c>
      <c r="B587">
        <f>Calculs!B587</f>
        <v>1979.5</v>
      </c>
      <c r="C587">
        <f>Calculs!C587</f>
        <v>1.1206742261271976</v>
      </c>
      <c r="D587">
        <f t="shared" si="18"/>
        <v>-1.4095679073773076E-2</v>
      </c>
      <c r="E587">
        <f t="shared" si="19"/>
        <v>6.0111626461621173E-3</v>
      </c>
    </row>
    <row r="588" spans="1:5" x14ac:dyDescent="0.35">
      <c r="A588" s="1">
        <f>Calculs!A588</f>
        <v>45040</v>
      </c>
      <c r="B588">
        <f>Calculs!B588</f>
        <v>1989.0999755859375</v>
      </c>
      <c r="C588">
        <f>Calculs!C588</f>
        <v>1.121453366669688</v>
      </c>
      <c r="D588">
        <f t="shared" si="18"/>
        <v>4.8379752909055249E-3</v>
      </c>
      <c r="E588">
        <f t="shared" si="19"/>
        <v>6.9500110194947067E-4</v>
      </c>
    </row>
    <row r="589" spans="1:5" x14ac:dyDescent="0.35">
      <c r="A589" s="1">
        <f>Calculs!A589</f>
        <v>45041</v>
      </c>
      <c r="B589">
        <f>Calculs!B589</f>
        <v>1994</v>
      </c>
      <c r="C589">
        <f>Calculs!C589</f>
        <v>1.1272813008700386</v>
      </c>
      <c r="D589">
        <f t="shared" si="18"/>
        <v>2.4604086846927858E-3</v>
      </c>
      <c r="E589">
        <f t="shared" si="19"/>
        <v>5.1833124935527263E-3</v>
      </c>
    </row>
    <row r="590" spans="1:5" x14ac:dyDescent="0.35">
      <c r="A590" s="1">
        <f>Calculs!A590</f>
        <v>45042</v>
      </c>
      <c r="B590">
        <f>Calculs!B590</f>
        <v>1985.699951171875</v>
      </c>
      <c r="C590">
        <f>Calculs!C590</f>
        <v>1.1213024879869393</v>
      </c>
      <c r="D590">
        <f t="shared" si="18"/>
        <v>-4.1711993186772864E-3</v>
      </c>
      <c r="E590">
        <f t="shared" si="19"/>
        <v>-5.3178600705108218E-3</v>
      </c>
    </row>
    <row r="591" spans="1:5" x14ac:dyDescent="0.35">
      <c r="A591" s="1">
        <f>Calculs!A591</f>
        <v>45043</v>
      </c>
      <c r="B591">
        <f>Calculs!B591</f>
        <v>1989.9000244140625</v>
      </c>
      <c r="C591">
        <f>Calculs!C591</f>
        <v>1.1225738211420411</v>
      </c>
      <c r="D591">
        <f t="shared" si="18"/>
        <v>2.1129262655032468E-3</v>
      </c>
      <c r="E591">
        <f t="shared" si="19"/>
        <v>1.1331580853785898E-3</v>
      </c>
    </row>
    <row r="592" spans="1:5" x14ac:dyDescent="0.35">
      <c r="A592" s="1">
        <f>Calculs!A592</f>
        <v>45044</v>
      </c>
      <c r="B592">
        <f>Calculs!B592</f>
        <v>1990.0999755859375</v>
      </c>
      <c r="C592">
        <f>Calculs!C592</f>
        <v>1.1187183841265527</v>
      </c>
      <c r="D592">
        <f t="shared" si="18"/>
        <v>1.0047797590101929E-4</v>
      </c>
      <c r="E592">
        <f t="shared" si="19"/>
        <v>-3.4403732000893778E-3</v>
      </c>
    </row>
    <row r="593" spans="1:5" x14ac:dyDescent="0.35">
      <c r="A593" s="1">
        <f>Calculs!A593</f>
        <v>45047</v>
      </c>
      <c r="B593">
        <f>Calculs!B593</f>
        <v>1983.4000244140625</v>
      </c>
      <c r="C593">
        <f>Calculs!C593</f>
        <v>1.1175681624870031</v>
      </c>
      <c r="D593">
        <f t="shared" si="18"/>
        <v>-3.3723203832884642E-3</v>
      </c>
      <c r="E593">
        <f t="shared" si="19"/>
        <v>-1.0286890494618671E-3</v>
      </c>
    </row>
    <row r="594" spans="1:5" x14ac:dyDescent="0.35">
      <c r="A594" s="1">
        <f>Calculs!A594</f>
        <v>45048</v>
      </c>
      <c r="B594">
        <f>Calculs!B594</f>
        <v>2014.300048828125</v>
      </c>
      <c r="C594">
        <f>Calculs!C594</f>
        <v>1.1162334190540595</v>
      </c>
      <c r="D594">
        <f t="shared" si="18"/>
        <v>1.5459208663897123E-2</v>
      </c>
      <c r="E594">
        <f t="shared" si="19"/>
        <v>-1.1950422121836362E-3</v>
      </c>
    </row>
    <row r="595" spans="1:5" x14ac:dyDescent="0.35">
      <c r="A595" s="1">
        <f>Calculs!A595</f>
        <v>45049</v>
      </c>
      <c r="B595">
        <f>Calculs!B595</f>
        <v>2028.5999755859375</v>
      </c>
      <c r="C595">
        <f>Calculs!C595</f>
        <v>1.1207621164435269</v>
      </c>
      <c r="D595">
        <f t="shared" si="18"/>
        <v>7.0741231818441811E-3</v>
      </c>
      <c r="E595">
        <f t="shared" si="19"/>
        <v>4.0489160612550389E-3</v>
      </c>
    </row>
    <row r="596" spans="1:5" x14ac:dyDescent="0.35">
      <c r="A596" s="1">
        <f>Calculs!A596</f>
        <v>45050</v>
      </c>
      <c r="B596">
        <f>Calculs!B596</f>
        <v>2048</v>
      </c>
      <c r="C596">
        <f>Calculs!C596</f>
        <v>1.1319644231610015</v>
      </c>
      <c r="D596">
        <f t="shared" si="18"/>
        <v>9.5178192524349864E-3</v>
      </c>
      <c r="E596">
        <f t="shared" si="19"/>
        <v>9.9456359755054034E-3</v>
      </c>
    </row>
    <row r="597" spans="1:5" x14ac:dyDescent="0.35">
      <c r="A597" s="1">
        <f>Calculs!A597</f>
        <v>45051</v>
      </c>
      <c r="B597">
        <f>Calculs!B597</f>
        <v>2017.4000244140625</v>
      </c>
      <c r="C597">
        <f>Calculs!C597</f>
        <v>1.1296881758716741</v>
      </c>
      <c r="D597">
        <f t="shared" si="18"/>
        <v>-1.5054141436917398E-2</v>
      </c>
      <c r="E597">
        <f t="shared" si="19"/>
        <v>-2.0129068972615273E-3</v>
      </c>
    </row>
    <row r="598" spans="1:5" x14ac:dyDescent="0.35">
      <c r="A598" s="1">
        <f>Calculs!A598</f>
        <v>45054</v>
      </c>
      <c r="B598">
        <f>Calculs!B598</f>
        <v>2026.300048828125</v>
      </c>
      <c r="C598">
        <f>Calculs!C598</f>
        <v>1.1221203273122056</v>
      </c>
      <c r="D598">
        <f t="shared" si="18"/>
        <v>4.4019282459867902E-3</v>
      </c>
      <c r="E598">
        <f t="shared" si="19"/>
        <v>-6.7215991427604389E-3</v>
      </c>
    </row>
    <row r="599" spans="1:5" x14ac:dyDescent="0.35">
      <c r="A599" s="1">
        <f>Calculs!A599</f>
        <v>45055</v>
      </c>
      <c r="B599">
        <f>Calculs!B599</f>
        <v>2036.199951171875</v>
      </c>
      <c r="C599">
        <f>Calculs!C599</f>
        <v>1.1237091609951688</v>
      </c>
      <c r="D599">
        <f t="shared" si="18"/>
        <v>4.8738077246031674E-3</v>
      </c>
      <c r="E599">
        <f t="shared" si="19"/>
        <v>1.414919481915558E-3</v>
      </c>
    </row>
    <row r="600" spans="1:5" x14ac:dyDescent="0.35">
      <c r="A600" s="1">
        <f>Calculs!A600</f>
        <v>45056</v>
      </c>
      <c r="B600">
        <f>Calculs!B600</f>
        <v>2030.5</v>
      </c>
      <c r="C600">
        <f>Calculs!C600</f>
        <v>1.1233935167295226</v>
      </c>
      <c r="D600">
        <f t="shared" si="18"/>
        <v>-2.8032335667185228E-3</v>
      </c>
      <c r="E600">
        <f t="shared" si="19"/>
        <v>-2.8093444135968908E-4</v>
      </c>
    </row>
    <row r="601" spans="1:5" x14ac:dyDescent="0.35">
      <c r="A601" s="1">
        <f>Calculs!A601</f>
        <v>45057</v>
      </c>
      <c r="B601">
        <f>Calculs!B601</f>
        <v>2014.699951171875</v>
      </c>
      <c r="C601">
        <f>Calculs!C601</f>
        <v>1.1244926041283367</v>
      </c>
      <c r="D601">
        <f t="shared" si="18"/>
        <v>-7.8117914404175039E-3</v>
      </c>
      <c r="E601">
        <f t="shared" si="19"/>
        <v>9.7788537969088177E-4</v>
      </c>
    </row>
    <row r="602" spans="1:5" x14ac:dyDescent="0.35">
      <c r="A602" s="1">
        <f>Calculs!A602</f>
        <v>45058</v>
      </c>
      <c r="B602">
        <f>Calculs!B602</f>
        <v>2014.5</v>
      </c>
      <c r="C602">
        <f>Calculs!C602</f>
        <v>1.1185682404182034</v>
      </c>
      <c r="D602">
        <f t="shared" si="18"/>
        <v>-9.9251054533082547E-5</v>
      </c>
      <c r="E602">
        <f t="shared" si="19"/>
        <v>-5.2824046218377697E-3</v>
      </c>
    </row>
    <row r="603" spans="1:5" x14ac:dyDescent="0.35">
      <c r="A603" s="1">
        <f>Calculs!A603</f>
        <v>45061</v>
      </c>
      <c r="B603">
        <f>Calculs!B603</f>
        <v>2018</v>
      </c>
      <c r="C603">
        <f>Calculs!C603</f>
        <v>1.1131147405027031</v>
      </c>
      <c r="D603">
        <f t="shared" si="18"/>
        <v>1.7358962821522753E-3</v>
      </c>
      <c r="E603">
        <f t="shared" si="19"/>
        <v>-4.8873525652240041E-3</v>
      </c>
    </row>
    <row r="604" spans="1:5" x14ac:dyDescent="0.35">
      <c r="A604" s="1">
        <f>Calculs!A604</f>
        <v>45062</v>
      </c>
      <c r="B604">
        <f>Calculs!B604</f>
        <v>1988.4000244140625</v>
      </c>
      <c r="C604">
        <f>Calculs!C604</f>
        <v>1.1167444545901486</v>
      </c>
      <c r="D604">
        <f t="shared" si="18"/>
        <v>-1.4776614414791786E-2</v>
      </c>
      <c r="E604">
        <f t="shared" si="19"/>
        <v>3.2555573923886121E-3</v>
      </c>
    </row>
    <row r="605" spans="1:5" x14ac:dyDescent="0.35">
      <c r="A605" s="1">
        <f>Calculs!A605</f>
        <v>45063</v>
      </c>
      <c r="B605">
        <f>Calculs!B605</f>
        <v>1980.699951171875</v>
      </c>
      <c r="C605">
        <f>Calculs!C605</f>
        <v>1.115635600878772</v>
      </c>
      <c r="D605">
        <f t="shared" si="18"/>
        <v>-3.8800145874982612E-3</v>
      </c>
      <c r="E605">
        <f t="shared" si="19"/>
        <v>-9.9342744068504104E-4</v>
      </c>
    </row>
    <row r="606" spans="1:5" x14ac:dyDescent="0.35">
      <c r="A606" s="1">
        <f>Calculs!A606</f>
        <v>45064</v>
      </c>
      <c r="B606">
        <f>Calculs!B606</f>
        <v>1956.5</v>
      </c>
      <c r="C606">
        <f>Calculs!C606</f>
        <v>1.1126663465175226</v>
      </c>
      <c r="D606">
        <f t="shared" si="18"/>
        <v>-1.2293130260797066E-2</v>
      </c>
      <c r="E606">
        <f t="shared" si="19"/>
        <v>-2.6650392888897625E-3</v>
      </c>
    </row>
    <row r="607" spans="1:5" x14ac:dyDescent="0.35">
      <c r="A607" s="1">
        <f>Calculs!A607</f>
        <v>45065</v>
      </c>
      <c r="B607">
        <f>Calculs!B607</f>
        <v>1978.699951171875</v>
      </c>
      <c r="C607">
        <f>Calculs!C607</f>
        <v>1.1051311559778645</v>
      </c>
      <c r="D607">
        <f t="shared" si="18"/>
        <v>1.1282876071055622E-2</v>
      </c>
      <c r="E607">
        <f t="shared" si="19"/>
        <v>-6.7952277212125507E-3</v>
      </c>
    </row>
    <row r="608" spans="1:5" x14ac:dyDescent="0.35">
      <c r="A608" s="1">
        <f>Calculs!A608</f>
        <v>45068</v>
      </c>
      <c r="B608">
        <f>Calculs!B608</f>
        <v>1974.800048828125</v>
      </c>
      <c r="C608">
        <f>Calculs!C608</f>
        <v>1.1133501553639997</v>
      </c>
      <c r="D608">
        <f t="shared" si="18"/>
        <v>-1.9728866112101689E-3</v>
      </c>
      <c r="E608">
        <f t="shared" si="19"/>
        <v>7.40960669585924E-3</v>
      </c>
    </row>
    <row r="609" spans="1:5" x14ac:dyDescent="0.35">
      <c r="A609" s="1">
        <f>Calculs!A609</f>
        <v>45069</v>
      </c>
      <c r="B609">
        <f>Calculs!B609</f>
        <v>1972.4000244140625</v>
      </c>
      <c r="C609">
        <f>Calculs!C609</f>
        <v>1.1132138581895143</v>
      </c>
      <c r="D609">
        <f t="shared" si="18"/>
        <v>-1.216064382496189E-3</v>
      </c>
      <c r="E609">
        <f t="shared" si="19"/>
        <v>-1.2242825611658148E-4</v>
      </c>
    </row>
    <row r="610" spans="1:5" x14ac:dyDescent="0.35">
      <c r="A610" s="1">
        <f>Calculs!A610</f>
        <v>45070</v>
      </c>
      <c r="B610">
        <f>Calculs!B610</f>
        <v>1962.800048828125</v>
      </c>
      <c r="C610">
        <f>Calculs!C610</f>
        <v>1.1094961449853464</v>
      </c>
      <c r="D610">
        <f t="shared" si="18"/>
        <v>-4.879037635297988E-3</v>
      </c>
      <c r="E610">
        <f t="shared" si="19"/>
        <v>-3.3452107254291186E-3</v>
      </c>
    </row>
    <row r="611" spans="1:5" x14ac:dyDescent="0.35">
      <c r="A611" s="1">
        <f>Calculs!A611</f>
        <v>45071</v>
      </c>
      <c r="B611">
        <f>Calculs!B611</f>
        <v>1943.0999755859375</v>
      </c>
      <c r="C611">
        <f>Calculs!C611</f>
        <v>1.1061947095206488</v>
      </c>
      <c r="D611">
        <f t="shared" si="18"/>
        <v>-1.0087426800028507E-2</v>
      </c>
      <c r="E611">
        <f t="shared" si="19"/>
        <v>-2.9800528365608392E-3</v>
      </c>
    </row>
    <row r="612" spans="1:5" x14ac:dyDescent="0.35">
      <c r="A612" s="1">
        <f>Calculs!A612</f>
        <v>45072</v>
      </c>
      <c r="B612">
        <f>Calculs!B612</f>
        <v>1944.0999755859375</v>
      </c>
      <c r="C612">
        <f>Calculs!C612</f>
        <v>1.1049113556647201</v>
      </c>
      <c r="D612">
        <f t="shared" si="18"/>
        <v>5.145091760760677E-4</v>
      </c>
      <c r="E612">
        <f t="shared" si="19"/>
        <v>-1.1608253626971218E-3</v>
      </c>
    </row>
    <row r="613" spans="1:5" x14ac:dyDescent="0.35">
      <c r="A613" s="1">
        <f>Calculs!A613</f>
        <v>45076</v>
      </c>
      <c r="B613">
        <f>Calculs!B613</f>
        <v>1958</v>
      </c>
      <c r="C613">
        <f>Calculs!C613</f>
        <v>1.1056320740809424</v>
      </c>
      <c r="D613">
        <f t="shared" si="18"/>
        <v>7.1244116218897296E-3</v>
      </c>
      <c r="E613">
        <f t="shared" si="19"/>
        <v>6.520735417921156E-4</v>
      </c>
    </row>
    <row r="614" spans="1:5" x14ac:dyDescent="0.35">
      <c r="A614" s="1">
        <f>Calculs!A614</f>
        <v>45077</v>
      </c>
      <c r="B614">
        <f>Calculs!B614</f>
        <v>1963.9000244140625</v>
      </c>
      <c r="C614">
        <f>Calculs!C614</f>
        <v>1.1039964855763733</v>
      </c>
      <c r="D614">
        <f t="shared" si="18"/>
        <v>3.0087604621398334E-3</v>
      </c>
      <c r="E614">
        <f t="shared" si="19"/>
        <v>-1.4804196806195969E-3</v>
      </c>
    </row>
    <row r="615" spans="1:5" x14ac:dyDescent="0.35">
      <c r="A615" s="1">
        <f>Calculs!A615</f>
        <v>45078</v>
      </c>
      <c r="B615">
        <f>Calculs!B615</f>
        <v>1978</v>
      </c>
      <c r="C615">
        <f>Calculs!C615</f>
        <v>1.0990339539276381</v>
      </c>
      <c r="D615">
        <f t="shared" si="18"/>
        <v>7.1539286300617939E-3</v>
      </c>
      <c r="E615">
        <f t="shared" si="19"/>
        <v>-4.5051942572935317E-3</v>
      </c>
    </row>
    <row r="616" spans="1:5" x14ac:dyDescent="0.35">
      <c r="A616" s="1">
        <f>Calculs!A616</f>
        <v>45079</v>
      </c>
      <c r="B616">
        <f>Calculs!B616</f>
        <v>1952.4000244140625</v>
      </c>
      <c r="C616">
        <f>Calculs!C616</f>
        <v>1.1042524790073296</v>
      </c>
      <c r="D616">
        <f t="shared" si="18"/>
        <v>-1.3026835665023308E-2</v>
      </c>
      <c r="E616">
        <f t="shared" si="19"/>
        <v>4.7370462234519349E-3</v>
      </c>
    </row>
    <row r="617" spans="1:5" x14ac:dyDescent="0.35">
      <c r="A617" s="1">
        <f>Calculs!A617</f>
        <v>45082</v>
      </c>
      <c r="B617">
        <f>Calculs!B617</f>
        <v>1958</v>
      </c>
      <c r="C617">
        <f>Calculs!C617</f>
        <v>1.0992393220302559</v>
      </c>
      <c r="D617">
        <f t="shared" si="18"/>
        <v>2.8641465728216076E-3</v>
      </c>
      <c r="E617">
        <f t="shared" si="19"/>
        <v>-4.5502012979722088E-3</v>
      </c>
    </row>
    <row r="618" spans="1:5" x14ac:dyDescent="0.35">
      <c r="A618" s="1">
        <f>Calculs!A618</f>
        <v>45083</v>
      </c>
      <c r="B618">
        <f>Calculs!B618</f>
        <v>1965.5</v>
      </c>
      <c r="C618">
        <f>Calculs!C618</f>
        <v>1.1038745979861144</v>
      </c>
      <c r="D618">
        <f t="shared" si="18"/>
        <v>3.8231217714593058E-3</v>
      </c>
      <c r="E618">
        <f t="shared" si="19"/>
        <v>4.2079374592274591E-3</v>
      </c>
    </row>
    <row r="619" spans="1:5" x14ac:dyDescent="0.35">
      <c r="A619" s="1">
        <f>Calculs!A619</f>
        <v>45084</v>
      </c>
      <c r="B619">
        <f>Calculs!B619</f>
        <v>1942.699951171875</v>
      </c>
      <c r="C619">
        <f>Calculs!C619</f>
        <v>1.1023778253612102</v>
      </c>
      <c r="D619">
        <f t="shared" si="18"/>
        <v>-1.1667932951336448E-2</v>
      </c>
      <c r="E619">
        <f t="shared" si="19"/>
        <v>-1.3568464231007286E-3</v>
      </c>
    </row>
    <row r="620" spans="1:5" x14ac:dyDescent="0.35">
      <c r="A620" s="1">
        <f>Calculs!A620</f>
        <v>45085</v>
      </c>
      <c r="B620">
        <f>Calculs!B620</f>
        <v>1963.5999755859375</v>
      </c>
      <c r="C620">
        <f>Calculs!C620</f>
        <v>1.0994568712351853</v>
      </c>
      <c r="D620">
        <f t="shared" si="18"/>
        <v>1.0700777840001093E-2</v>
      </c>
      <c r="E620">
        <f t="shared" si="19"/>
        <v>-2.6532017540096564E-3</v>
      </c>
    </row>
    <row r="621" spans="1:5" x14ac:dyDescent="0.35">
      <c r="A621" s="1">
        <f>Calculs!A621</f>
        <v>45086</v>
      </c>
      <c r="B621">
        <f>Calculs!B621</f>
        <v>1962.199951171875</v>
      </c>
      <c r="C621">
        <f>Calculs!C621</f>
        <v>1.1127183723972462</v>
      </c>
      <c r="D621">
        <f t="shared" si="18"/>
        <v>-7.1324290566681531E-4</v>
      </c>
      <c r="E621">
        <f t="shared" si="19"/>
        <v>1.198970114580883E-2</v>
      </c>
    </row>
    <row r="622" spans="1:5" x14ac:dyDescent="0.35">
      <c r="A622" s="1">
        <f>Calculs!A622</f>
        <v>45089</v>
      </c>
      <c r="B622">
        <f>Calculs!B622</f>
        <v>1955.300048828125</v>
      </c>
      <c r="C622">
        <f>Calculs!C622</f>
        <v>1.1071745265894997</v>
      </c>
      <c r="D622">
        <f t="shared" si="18"/>
        <v>-3.5226085404931138E-3</v>
      </c>
      <c r="E622">
        <f t="shared" si="19"/>
        <v>-4.9947070288941763E-3</v>
      </c>
    </row>
    <row r="623" spans="1:5" x14ac:dyDescent="0.35">
      <c r="A623" s="1">
        <f>Calculs!A623</f>
        <v>45090</v>
      </c>
      <c r="B623">
        <f>Calculs!B623</f>
        <v>1944.5999755859375</v>
      </c>
      <c r="C623">
        <f>Calculs!C623</f>
        <v>1.1009578544689869</v>
      </c>
      <c r="D623">
        <f t="shared" si="18"/>
        <v>-5.4873714836624161E-3</v>
      </c>
      <c r="E623">
        <f t="shared" si="19"/>
        <v>-5.6307208741706218E-3</v>
      </c>
    </row>
    <row r="624" spans="1:5" x14ac:dyDescent="0.35">
      <c r="A624" s="1">
        <f>Calculs!A624</f>
        <v>45091</v>
      </c>
      <c r="B624">
        <f>Calculs!B624</f>
        <v>1955.300048828125</v>
      </c>
      <c r="C624">
        <f>Calculs!C624</f>
        <v>1.1046549839564708</v>
      </c>
      <c r="D624">
        <f t="shared" si="18"/>
        <v>5.4873714836623649E-3</v>
      </c>
      <c r="E624">
        <f t="shared" si="19"/>
        <v>3.3524768134950192E-3</v>
      </c>
    </row>
    <row r="625" spans="1:5" x14ac:dyDescent="0.35">
      <c r="A625" s="1">
        <f>Calculs!A625</f>
        <v>45092</v>
      </c>
      <c r="B625">
        <f>Calculs!B625</f>
        <v>1957.800048828125</v>
      </c>
      <c r="C625">
        <f>Calculs!C625</f>
        <v>1.1110123233566458</v>
      </c>
      <c r="D625">
        <f t="shared" si="18"/>
        <v>1.2777594632126471E-3</v>
      </c>
      <c r="E625">
        <f t="shared" si="19"/>
        <v>5.7385482245250388E-3</v>
      </c>
    </row>
    <row r="626" spans="1:5" x14ac:dyDescent="0.35">
      <c r="A626" s="1">
        <f>Calculs!A626</f>
        <v>45093</v>
      </c>
      <c r="B626">
        <f>Calculs!B626</f>
        <v>1958.4000244140625</v>
      </c>
      <c r="C626">
        <f>Calculs!C626</f>
        <v>1.121528858724546</v>
      </c>
      <c r="D626">
        <f t="shared" si="18"/>
        <v>3.064070167053769E-4</v>
      </c>
      <c r="E626">
        <f t="shared" si="19"/>
        <v>9.4212041763896606E-3</v>
      </c>
    </row>
    <row r="627" spans="1:5" x14ac:dyDescent="0.35">
      <c r="A627" s="1">
        <f>Calculs!A627</f>
        <v>45097</v>
      </c>
      <c r="B627">
        <f>Calculs!B627</f>
        <v>1935.5</v>
      </c>
      <c r="C627">
        <f>Calculs!C627</f>
        <v>1.1163454977295102</v>
      </c>
      <c r="D627">
        <f t="shared" si="18"/>
        <v>-1.1762134766634989E-2</v>
      </c>
      <c r="E627">
        <f t="shared" si="19"/>
        <v>-4.6324050760984271E-3</v>
      </c>
    </row>
    <row r="628" spans="1:5" x14ac:dyDescent="0.35">
      <c r="A628" s="1">
        <f>Calculs!A628</f>
        <v>45098</v>
      </c>
      <c r="B628">
        <f>Calculs!B628</f>
        <v>1933.300048828125</v>
      </c>
      <c r="C628">
        <f>Calculs!C628</f>
        <v>1.11399515670331</v>
      </c>
      <c r="D628">
        <f t="shared" si="18"/>
        <v>-1.1372784228845022E-3</v>
      </c>
      <c r="E628">
        <f t="shared" si="19"/>
        <v>-2.1076079939170355E-3</v>
      </c>
    </row>
    <row r="629" spans="1:5" x14ac:dyDescent="0.35">
      <c r="A629" s="1">
        <f>Calculs!A629</f>
        <v>45099</v>
      </c>
      <c r="B629">
        <f>Calculs!B629</f>
        <v>1912.699951171875</v>
      </c>
      <c r="C629">
        <f>Calculs!C629</f>
        <v>1.1206993041560263</v>
      </c>
      <c r="D629">
        <f t="shared" si="18"/>
        <v>-1.0712581726706361E-2</v>
      </c>
      <c r="E629">
        <f t="shared" si="19"/>
        <v>6.0000753419093391E-3</v>
      </c>
    </row>
    <row r="630" spans="1:5" x14ac:dyDescent="0.35">
      <c r="A630" s="1">
        <f>Calculs!A630</f>
        <v>45100</v>
      </c>
      <c r="B630">
        <f>Calculs!B630</f>
        <v>1919.0999755859375</v>
      </c>
      <c r="C630">
        <f>Calculs!C630</f>
        <v>1.1174682679265027</v>
      </c>
      <c r="D630">
        <f t="shared" si="18"/>
        <v>3.3404825344688139E-3</v>
      </c>
      <c r="E630">
        <f t="shared" si="19"/>
        <v>-2.8872176635255722E-3</v>
      </c>
    </row>
    <row r="631" spans="1:5" x14ac:dyDescent="0.35">
      <c r="A631" s="1">
        <f>Calculs!A631</f>
        <v>45103</v>
      </c>
      <c r="B631">
        <f>Calculs!B631</f>
        <v>1923.699951171875</v>
      </c>
      <c r="C631">
        <f>Calculs!C631</f>
        <v>1.1163454977295102</v>
      </c>
      <c r="D631">
        <f t="shared" si="18"/>
        <v>2.3940761271535643E-3</v>
      </c>
      <c r="E631">
        <f t="shared" si="19"/>
        <v>-1.0052496844667371E-3</v>
      </c>
    </row>
    <row r="632" spans="1:5" x14ac:dyDescent="0.35">
      <c r="A632" s="1">
        <f>Calculs!A632</f>
        <v>45104</v>
      </c>
      <c r="B632">
        <f>Calculs!B632</f>
        <v>1914</v>
      </c>
      <c r="C632">
        <f>Calculs!C632</f>
        <v>1.1165574614720426</v>
      </c>
      <c r="D632">
        <f t="shared" si="18"/>
        <v>-5.0550965168347601E-3</v>
      </c>
      <c r="E632">
        <f t="shared" si="19"/>
        <v>1.8985486341505458E-4</v>
      </c>
    </row>
    <row r="633" spans="1:5" x14ac:dyDescent="0.35">
      <c r="A633" s="1">
        <f>Calculs!A633</f>
        <v>45105</v>
      </c>
      <c r="B633">
        <f>Calculs!B633</f>
        <v>1912.300048828125</v>
      </c>
      <c r="C633">
        <f>Calculs!C633</f>
        <v>1.1188811039573683</v>
      </c>
      <c r="D633">
        <f t="shared" si="18"/>
        <v>-8.8856141025539146E-4</v>
      </c>
      <c r="E633">
        <f t="shared" si="19"/>
        <v>2.0789149459412453E-3</v>
      </c>
    </row>
    <row r="634" spans="1:5" x14ac:dyDescent="0.35">
      <c r="A634" s="1">
        <f>Calculs!A634</f>
        <v>45106</v>
      </c>
      <c r="B634">
        <f>Calculs!B634</f>
        <v>1909.199951171875</v>
      </c>
      <c r="C634">
        <f>Calculs!C634</f>
        <v>1.1152499644696052</v>
      </c>
      <c r="D634">
        <f t="shared" si="18"/>
        <v>-1.6224510460784893E-3</v>
      </c>
      <c r="E634">
        <f t="shared" si="19"/>
        <v>-3.2506084682625345E-3</v>
      </c>
    </row>
    <row r="635" spans="1:5" x14ac:dyDescent="0.35">
      <c r="A635" s="1">
        <f>Calculs!A635</f>
        <v>45107</v>
      </c>
      <c r="B635">
        <f>Calculs!B635</f>
        <v>1921.0999755859375</v>
      </c>
      <c r="C635">
        <f>Calculs!C635</f>
        <v>1.1121738545923499</v>
      </c>
      <c r="D635">
        <f t="shared" si="18"/>
        <v>6.2136453694543944E-3</v>
      </c>
      <c r="E635">
        <f t="shared" si="19"/>
        <v>-2.7620355017541867E-3</v>
      </c>
    </row>
    <row r="636" spans="1:5" x14ac:dyDescent="0.35">
      <c r="A636" s="1">
        <f>Calculs!A636</f>
        <v>45110</v>
      </c>
      <c r="B636">
        <f>Calculs!B636</f>
        <v>1921.699951171875</v>
      </c>
      <c r="C636">
        <f>Calculs!C636</f>
        <v>1.1173184595655401</v>
      </c>
      <c r="D636">
        <f t="shared" si="18"/>
        <v>3.1225960354315117E-4</v>
      </c>
      <c r="E636">
        <f t="shared" si="19"/>
        <v>4.6150543526391101E-3</v>
      </c>
    </row>
    <row r="637" spans="1:5" x14ac:dyDescent="0.35">
      <c r="A637" s="1">
        <f>Calculs!A637</f>
        <v>45112</v>
      </c>
      <c r="B637">
        <f>Calculs!B637</f>
        <v>1919.5999755859375</v>
      </c>
      <c r="C637">
        <f>Calculs!C637</f>
        <v>1.115274800319056</v>
      </c>
      <c r="D637">
        <f t="shared" si="18"/>
        <v>-1.0933672637802037E-3</v>
      </c>
      <c r="E637">
        <f t="shared" si="19"/>
        <v>-1.8307497868118997E-3</v>
      </c>
    </row>
    <row r="638" spans="1:5" x14ac:dyDescent="0.35">
      <c r="A638" s="1">
        <f>Calculs!A638</f>
        <v>45113</v>
      </c>
      <c r="B638">
        <f>Calculs!B638</f>
        <v>1908.699951171875</v>
      </c>
      <c r="C638">
        <f>Calculs!C638</f>
        <v>1.1129412901010596</v>
      </c>
      <c r="D638">
        <f t="shared" si="18"/>
        <v>-5.6944618118119714E-3</v>
      </c>
      <c r="E638">
        <f t="shared" si="19"/>
        <v>-2.0945105648563053E-3</v>
      </c>
    </row>
    <row r="639" spans="1:5" x14ac:dyDescent="0.35">
      <c r="A639" s="1">
        <f>Calculs!A639</f>
        <v>45114</v>
      </c>
      <c r="B639">
        <f>Calculs!B639</f>
        <v>1926.199951171875</v>
      </c>
      <c r="C639">
        <f>Calculs!C639</f>
        <v>1.1169689885146148</v>
      </c>
      <c r="D639">
        <f t="shared" si="18"/>
        <v>9.1267683233349321E-3</v>
      </c>
      <c r="E639">
        <f t="shared" si="19"/>
        <v>3.6124348429580487E-3</v>
      </c>
    </row>
    <row r="640" spans="1:5" x14ac:dyDescent="0.35">
      <c r="A640" s="1">
        <f>Calculs!A640</f>
        <v>45117</v>
      </c>
      <c r="B640">
        <f>Calculs!B640</f>
        <v>1925</v>
      </c>
      <c r="C640">
        <f>Calculs!C640</f>
        <v>1.1249859604873969</v>
      </c>
      <c r="D640">
        <f t="shared" si="18"/>
        <v>-6.2315705542152213E-4</v>
      </c>
      <c r="E640">
        <f t="shared" si="19"/>
        <v>7.1517995020250157E-3</v>
      </c>
    </row>
    <row r="641" spans="1:5" x14ac:dyDescent="0.35">
      <c r="A641" s="1">
        <f>Calculs!A641</f>
        <v>45118</v>
      </c>
      <c r="B641">
        <f>Calculs!B641</f>
        <v>1931.300048828125</v>
      </c>
      <c r="C641">
        <f>Calculs!C641</f>
        <v>1.1297775618708046</v>
      </c>
      <c r="D641">
        <f t="shared" si="18"/>
        <v>3.2674088391857186E-3</v>
      </c>
      <c r="E641">
        <f t="shared" si="19"/>
        <v>4.2502094334603991E-3</v>
      </c>
    </row>
    <row r="642" spans="1:5" x14ac:dyDescent="0.35">
      <c r="A642" s="1">
        <f>Calculs!A642</f>
        <v>45119</v>
      </c>
      <c r="B642">
        <f>Calculs!B642</f>
        <v>1956.199951171875</v>
      </c>
      <c r="C642">
        <f>Calculs!C642</f>
        <v>1.1379671611472884</v>
      </c>
      <c r="D642">
        <f t="shared" si="18"/>
        <v>1.2810414334619996E-2</v>
      </c>
      <c r="E642">
        <f t="shared" si="19"/>
        <v>7.2227132057341029E-3</v>
      </c>
    </row>
    <row r="643" spans="1:5" x14ac:dyDescent="0.35">
      <c r="A643" s="1">
        <f>Calculs!A643</f>
        <v>45120</v>
      </c>
      <c r="B643">
        <f>Calculs!B643</f>
        <v>1959.199951171875</v>
      </c>
      <c r="C643">
        <f>Calculs!C643</f>
        <v>1.1539216150870506</v>
      </c>
      <c r="D643">
        <f t="shared" si="18"/>
        <v>1.5324108197861239E-3</v>
      </c>
      <c r="E643">
        <f t="shared" si="19"/>
        <v>1.3922762593364784E-2</v>
      </c>
    </row>
    <row r="644" spans="1:5" x14ac:dyDescent="0.35">
      <c r="A644" s="1">
        <f>Calculs!A644</f>
        <v>45121</v>
      </c>
      <c r="B644">
        <f>Calculs!B644</f>
        <v>1960.0999755859375</v>
      </c>
      <c r="C644">
        <f>Calculs!C644</f>
        <v>1.1639817334161622</v>
      </c>
      <c r="D644">
        <f t="shared" ref="D644:D707" si="20">LN(B644/B643)</f>
        <v>4.5927816023401885E-4</v>
      </c>
      <c r="E644">
        <f t="shared" ref="E644:E707" si="21">LN(C644/C643)</f>
        <v>8.6804150003552041E-3</v>
      </c>
    </row>
    <row r="645" spans="1:5" x14ac:dyDescent="0.35">
      <c r="A645" s="1">
        <f>Calculs!A645</f>
        <v>45124</v>
      </c>
      <c r="B645">
        <f>Calculs!B645</f>
        <v>1952.4000244140625</v>
      </c>
      <c r="C645">
        <f>Calculs!C645</f>
        <v>1.1602274423140573</v>
      </c>
      <c r="D645">
        <f t="shared" si="20"/>
        <v>-3.9360823580764509E-3</v>
      </c>
      <c r="E645">
        <f t="shared" si="21"/>
        <v>-3.2305993854002098E-3</v>
      </c>
    </row>
    <row r="646" spans="1:5" x14ac:dyDescent="0.35">
      <c r="A646" s="1">
        <f>Calculs!A646</f>
        <v>45125</v>
      </c>
      <c r="B646">
        <f>Calculs!B646</f>
        <v>1977.199951171875</v>
      </c>
      <c r="C646">
        <f>Calculs!C646</f>
        <v>1.1623176441523435</v>
      </c>
      <c r="D646">
        <f t="shared" si="20"/>
        <v>1.2622280219577665E-2</v>
      </c>
      <c r="E646">
        <f t="shared" si="21"/>
        <v>1.7999240701700742E-3</v>
      </c>
    </row>
    <row r="647" spans="1:5" x14ac:dyDescent="0.35">
      <c r="A647" s="1">
        <f>Calculs!A647</f>
        <v>45126</v>
      </c>
      <c r="B647">
        <f>Calculs!B647</f>
        <v>1977.5</v>
      </c>
      <c r="C647">
        <f>Calculs!C647</f>
        <v>1.1659768215660056</v>
      </c>
      <c r="D647">
        <f t="shared" si="20"/>
        <v>1.5174290459729159E-4</v>
      </c>
      <c r="E647">
        <f t="shared" si="21"/>
        <v>3.143228212948497E-3</v>
      </c>
    </row>
    <row r="648" spans="1:5" x14ac:dyDescent="0.35">
      <c r="A648" s="1">
        <f>Calculs!A648</f>
        <v>45127</v>
      </c>
      <c r="B648">
        <f>Calculs!B648</f>
        <v>1968.300048828125</v>
      </c>
      <c r="C648">
        <f>Calculs!C648</f>
        <v>1.1655691269397301</v>
      </c>
      <c r="D648">
        <f t="shared" si="20"/>
        <v>-4.6631698156101558E-3</v>
      </c>
      <c r="E648">
        <f t="shared" si="21"/>
        <v>-3.4972043393950405E-4</v>
      </c>
    </row>
    <row r="649" spans="1:5" x14ac:dyDescent="0.35">
      <c r="A649" s="1">
        <f>Calculs!A649</f>
        <v>45128</v>
      </c>
      <c r="B649">
        <f>Calculs!B649</f>
        <v>1964.300048828125</v>
      </c>
      <c r="C649">
        <f>Calculs!C649</f>
        <v>1.1543878386321853</v>
      </c>
      <c r="D649">
        <f t="shared" si="20"/>
        <v>-2.0342782281946971E-3</v>
      </c>
      <c r="E649">
        <f t="shared" si="21"/>
        <v>-9.6392950818194635E-3</v>
      </c>
    </row>
    <row r="650" spans="1:5" x14ac:dyDescent="0.35">
      <c r="A650" s="1">
        <f>Calculs!A650</f>
        <v>45131</v>
      </c>
      <c r="B650">
        <f>Calculs!B650</f>
        <v>1960.300048828125</v>
      </c>
      <c r="C650">
        <f>Calculs!C650</f>
        <v>1.1544144482359437</v>
      </c>
      <c r="D650">
        <f t="shared" si="20"/>
        <v>-2.038424953129538E-3</v>
      </c>
      <c r="E650">
        <f t="shared" si="21"/>
        <v>2.3050569475784245E-5</v>
      </c>
    </row>
    <row r="651" spans="1:5" x14ac:dyDescent="0.35">
      <c r="A651" s="1">
        <f>Calculs!A651</f>
        <v>45132</v>
      </c>
      <c r="B651">
        <f>Calculs!B651</f>
        <v>1962.0999755859375</v>
      </c>
      <c r="C651">
        <f>Calculs!C651</f>
        <v>1.1495706689418879</v>
      </c>
      <c r="D651">
        <f t="shared" si="20"/>
        <v>9.1776813835864313E-4</v>
      </c>
      <c r="E651">
        <f t="shared" si="21"/>
        <v>-4.2047028813252292E-3</v>
      </c>
    </row>
    <row r="652" spans="1:5" x14ac:dyDescent="0.35">
      <c r="A652" s="1">
        <f>Calculs!A652</f>
        <v>45133</v>
      </c>
      <c r="B652">
        <f>Calculs!B652</f>
        <v>1968.9000244140625</v>
      </c>
      <c r="C652">
        <f>Calculs!C652</f>
        <v>1.1566978229444334</v>
      </c>
      <c r="D652">
        <f t="shared" si="20"/>
        <v>3.4597077644024344E-3</v>
      </c>
      <c r="E652">
        <f t="shared" si="21"/>
        <v>6.1806998763034764E-3</v>
      </c>
    </row>
    <row r="653" spans="1:5" x14ac:dyDescent="0.35">
      <c r="A653" s="1">
        <f>Calculs!A653</f>
        <v>45134</v>
      </c>
      <c r="B653">
        <f>Calculs!B653</f>
        <v>1945.4000244140625</v>
      </c>
      <c r="C653">
        <f>Calculs!C653</f>
        <v>1.1607121867260706</v>
      </c>
      <c r="D653">
        <f t="shared" si="20"/>
        <v>-1.2007399562659367E-2</v>
      </c>
      <c r="E653">
        <f t="shared" si="21"/>
        <v>3.4645296086927048E-3</v>
      </c>
    </row>
    <row r="654" spans="1:5" x14ac:dyDescent="0.35">
      <c r="A654" s="1">
        <f>Calculs!A654</f>
        <v>45135</v>
      </c>
      <c r="B654">
        <f>Calculs!B654</f>
        <v>1960.4000244140625</v>
      </c>
      <c r="C654">
        <f>Calculs!C654</f>
        <v>1.1509466632237726</v>
      </c>
      <c r="D654">
        <f t="shared" si="20"/>
        <v>7.6809225040289451E-3</v>
      </c>
      <c r="E654">
        <f t="shared" si="21"/>
        <v>-8.448981643926658E-3</v>
      </c>
    </row>
    <row r="655" spans="1:5" x14ac:dyDescent="0.35">
      <c r="A655" s="1">
        <f>Calculs!A655</f>
        <v>45138</v>
      </c>
      <c r="B655">
        <f>Calculs!B655</f>
        <v>1970.5</v>
      </c>
      <c r="C655">
        <f>Calculs!C655</f>
        <v>1.1496631503612857</v>
      </c>
      <c r="D655">
        <f t="shared" si="20"/>
        <v>5.1387711460531846E-3</v>
      </c>
      <c r="E655">
        <f t="shared" si="21"/>
        <v>-1.1158024173189003E-3</v>
      </c>
    </row>
    <row r="656" spans="1:5" x14ac:dyDescent="0.35">
      <c r="A656" s="1">
        <f>Calculs!A656</f>
        <v>45139</v>
      </c>
      <c r="B656">
        <f>Calculs!B656</f>
        <v>1940.699951171875</v>
      </c>
      <c r="C656">
        <f>Calculs!C656</f>
        <v>1.1472494950033711</v>
      </c>
      <c r="D656">
        <f t="shared" si="20"/>
        <v>-1.5238610077067491E-2</v>
      </c>
      <c r="E656">
        <f t="shared" si="21"/>
        <v>-2.1016526259285732E-3</v>
      </c>
    </row>
    <row r="657" spans="1:5" x14ac:dyDescent="0.35">
      <c r="A657" s="1">
        <f>Calculs!A657</f>
        <v>45140</v>
      </c>
      <c r="B657">
        <f>Calculs!B657</f>
        <v>1937.4000244140625</v>
      </c>
      <c r="C657">
        <f>Calculs!C657</f>
        <v>1.1462894370552608</v>
      </c>
      <c r="D657">
        <f t="shared" si="20"/>
        <v>-1.7018269642495524E-3</v>
      </c>
      <c r="E657">
        <f t="shared" si="21"/>
        <v>-8.3718483324133925E-4</v>
      </c>
    </row>
    <row r="658" spans="1:5" x14ac:dyDescent="0.35">
      <c r="A658" s="1">
        <f>Calculs!A658</f>
        <v>45141</v>
      </c>
      <c r="B658">
        <f>Calculs!B658</f>
        <v>1932</v>
      </c>
      <c r="C658">
        <f>Calculs!C658</f>
        <v>1.1398479728570614</v>
      </c>
      <c r="D658">
        <f t="shared" si="20"/>
        <v>-2.7911448212779625E-3</v>
      </c>
      <c r="E658">
        <f t="shared" si="21"/>
        <v>-5.6352529087385682E-3</v>
      </c>
    </row>
    <row r="659" spans="1:5" x14ac:dyDescent="0.35">
      <c r="A659" s="1">
        <f>Calculs!A659</f>
        <v>45142</v>
      </c>
      <c r="B659">
        <f>Calculs!B659</f>
        <v>1939.5999755859375</v>
      </c>
      <c r="C659">
        <f>Calculs!C659</f>
        <v>1.1438768095240888</v>
      </c>
      <c r="D659">
        <f t="shared" si="20"/>
        <v>3.9260178715701454E-3</v>
      </c>
      <c r="E659">
        <f t="shared" si="21"/>
        <v>3.5283068062089617E-3</v>
      </c>
    </row>
    <row r="660" spans="1:5" x14ac:dyDescent="0.35">
      <c r="A660" s="1">
        <f>Calculs!A660</f>
        <v>45145</v>
      </c>
      <c r="B660">
        <f>Calculs!B660</f>
        <v>1933.5</v>
      </c>
      <c r="C660">
        <f>Calculs!C660</f>
        <v>1.1439684550515237</v>
      </c>
      <c r="D660">
        <f t="shared" si="20"/>
        <v>-3.1499215966817747E-3</v>
      </c>
      <c r="E660">
        <f t="shared" si="21"/>
        <v>8.011514493833625E-5</v>
      </c>
    </row>
    <row r="661" spans="1:5" x14ac:dyDescent="0.35">
      <c r="A661" s="1">
        <f>Calculs!A661</f>
        <v>45146</v>
      </c>
      <c r="B661">
        <f>Calculs!B661</f>
        <v>1924.0999755859375</v>
      </c>
      <c r="C661">
        <f>Calculs!C661</f>
        <v>1.1458691732991948</v>
      </c>
      <c r="D661">
        <f t="shared" si="20"/>
        <v>-4.8735188089433787E-3</v>
      </c>
      <c r="E661">
        <f t="shared" si="21"/>
        <v>1.6601340293101545E-3</v>
      </c>
    </row>
    <row r="662" spans="1:5" x14ac:dyDescent="0.35">
      <c r="A662" s="1">
        <f>Calculs!A662</f>
        <v>45147</v>
      </c>
      <c r="B662">
        <f>Calculs!B662</f>
        <v>1915.4000244140625</v>
      </c>
      <c r="C662">
        <f>Calculs!C662</f>
        <v>1.1420740320201388</v>
      </c>
      <c r="D662">
        <f t="shared" si="20"/>
        <v>-4.5318224046941588E-3</v>
      </c>
      <c r="E662">
        <f t="shared" si="21"/>
        <v>-3.3175165808158719E-3</v>
      </c>
    </row>
    <row r="663" spans="1:5" x14ac:dyDescent="0.35">
      <c r="A663" s="1">
        <f>Calculs!A663</f>
        <v>45148</v>
      </c>
      <c r="B663">
        <f>Calculs!B663</f>
        <v>1914.4000244140625</v>
      </c>
      <c r="C663">
        <f>Calculs!C663</f>
        <v>1.140641060985812</v>
      </c>
      <c r="D663">
        <f t="shared" si="20"/>
        <v>-5.2222048669730951E-4</v>
      </c>
      <c r="E663">
        <f t="shared" si="21"/>
        <v>-1.2554972164041463E-3</v>
      </c>
    </row>
    <row r="664" spans="1:5" x14ac:dyDescent="0.35">
      <c r="A664" s="1">
        <f>Calculs!A664</f>
        <v>45149</v>
      </c>
      <c r="B664">
        <f>Calculs!B664</f>
        <v>1912.9000244140625</v>
      </c>
      <c r="C664">
        <f>Calculs!C664</f>
        <v>1.1405239735025505</v>
      </c>
      <c r="D664">
        <f t="shared" si="20"/>
        <v>-7.8384242555549349E-4</v>
      </c>
      <c r="E664">
        <f t="shared" si="21"/>
        <v>-1.0265586364335801E-4</v>
      </c>
    </row>
    <row r="665" spans="1:5" x14ac:dyDescent="0.35">
      <c r="A665" s="1">
        <f>Calculs!A665</f>
        <v>45152</v>
      </c>
      <c r="B665">
        <f>Calculs!B665</f>
        <v>1910.5999755859375</v>
      </c>
      <c r="C665">
        <f>Calculs!C665</f>
        <v>1.1407451416965098</v>
      </c>
      <c r="D665">
        <f t="shared" si="20"/>
        <v>-1.2031118637709465E-3</v>
      </c>
      <c r="E665">
        <f t="shared" si="21"/>
        <v>1.9389925824933211E-4</v>
      </c>
    </row>
    <row r="666" spans="1:5" x14ac:dyDescent="0.35">
      <c r="A666" s="1">
        <f>Calculs!A666</f>
        <v>45153</v>
      </c>
      <c r="B666">
        <f>Calculs!B666</f>
        <v>1902.5</v>
      </c>
      <c r="C666">
        <f>Calculs!C666</f>
        <v>1.1389781168576367</v>
      </c>
      <c r="D666">
        <f t="shared" si="20"/>
        <v>-4.2485053218494105E-3</v>
      </c>
      <c r="E666">
        <f t="shared" si="21"/>
        <v>-1.5502102600494845E-3</v>
      </c>
    </row>
    <row r="667" spans="1:5" x14ac:dyDescent="0.35">
      <c r="A667" s="1">
        <f>Calculs!A667</f>
        <v>45154</v>
      </c>
      <c r="B667">
        <f>Calculs!B667</f>
        <v>1896.0999755859375</v>
      </c>
      <c r="C667">
        <f>Calculs!C667</f>
        <v>1.1381484231722054</v>
      </c>
      <c r="D667">
        <f t="shared" si="20"/>
        <v>-3.3696785716191323E-3</v>
      </c>
      <c r="E667">
        <f t="shared" si="21"/>
        <v>-7.2871990867629584E-4</v>
      </c>
    </row>
    <row r="668" spans="1:5" x14ac:dyDescent="0.35">
      <c r="A668" s="1">
        <f>Calculs!A668</f>
        <v>45155</v>
      </c>
      <c r="B668">
        <f>Calculs!B668</f>
        <v>1884.0999755859375</v>
      </c>
      <c r="C668">
        <f>Calculs!C668</f>
        <v>1.1361828715509554</v>
      </c>
      <c r="D668">
        <f t="shared" si="20"/>
        <v>-6.34889183821112E-3</v>
      </c>
      <c r="E668">
        <f t="shared" si="21"/>
        <v>-1.7284659584699414E-3</v>
      </c>
    </row>
    <row r="669" spans="1:5" x14ac:dyDescent="0.35">
      <c r="A669" s="1">
        <f>Calculs!A669</f>
        <v>45156</v>
      </c>
      <c r="B669">
        <f>Calculs!B669</f>
        <v>1886.0999755859375</v>
      </c>
      <c r="C669">
        <f>Calculs!C669</f>
        <v>1.1386409320976418</v>
      </c>
      <c r="D669">
        <f t="shared" si="20"/>
        <v>1.0609517869105895E-3</v>
      </c>
      <c r="E669">
        <f t="shared" si="21"/>
        <v>2.1611005647222607E-3</v>
      </c>
    </row>
    <row r="670" spans="1:5" x14ac:dyDescent="0.35">
      <c r="A670" s="1">
        <f>Calculs!A670</f>
        <v>45159</v>
      </c>
      <c r="B670">
        <f>Calculs!B670</f>
        <v>1893.300048828125</v>
      </c>
      <c r="C670">
        <f>Calculs!C670</f>
        <v>1.1334399042726155</v>
      </c>
      <c r="D670">
        <f t="shared" si="20"/>
        <v>3.8101719353384462E-3</v>
      </c>
      <c r="E670">
        <f t="shared" si="21"/>
        <v>-4.5782146711078045E-3</v>
      </c>
    </row>
    <row r="671" spans="1:5" x14ac:dyDescent="0.35">
      <c r="A671" s="1">
        <f>Calculs!A671</f>
        <v>45160</v>
      </c>
      <c r="B671">
        <f>Calculs!B671</f>
        <v>1896.4000244140625</v>
      </c>
      <c r="C671">
        <f>Calculs!C671</f>
        <v>1.1383531457516336</v>
      </c>
      <c r="D671">
        <f t="shared" si="20"/>
        <v>1.6360008536025392E-3</v>
      </c>
      <c r="E671">
        <f t="shared" si="21"/>
        <v>4.3254372481532554E-3</v>
      </c>
    </row>
    <row r="672" spans="1:5" x14ac:dyDescent="0.35">
      <c r="A672" s="1">
        <f>Calculs!A672</f>
        <v>45161</v>
      </c>
      <c r="B672">
        <f>Calculs!B672</f>
        <v>1918.5</v>
      </c>
      <c r="C672">
        <f>Calculs!C672</f>
        <v>1.1366219315684767</v>
      </c>
      <c r="D672">
        <f t="shared" si="20"/>
        <v>1.1586265785144559E-2</v>
      </c>
      <c r="E672">
        <f t="shared" si="21"/>
        <v>-1.5219635015733344E-3</v>
      </c>
    </row>
    <row r="673" spans="1:5" x14ac:dyDescent="0.35">
      <c r="A673" s="1">
        <f>Calculs!A673</f>
        <v>45162</v>
      </c>
      <c r="B673">
        <f>Calculs!B673</f>
        <v>1918.199951171875</v>
      </c>
      <c r="C673">
        <f>Calculs!C673</f>
        <v>1.139718040769955</v>
      </c>
      <c r="D673">
        <f t="shared" si="20"/>
        <v>-1.564098483359136E-4</v>
      </c>
      <c r="E673">
        <f t="shared" si="21"/>
        <v>2.720253695240496E-3</v>
      </c>
    </row>
    <row r="674" spans="1:5" x14ac:dyDescent="0.35">
      <c r="A674" s="1">
        <f>Calculs!A674</f>
        <v>45163</v>
      </c>
      <c r="B674">
        <f>Calculs!B674</f>
        <v>1911.0999755859375</v>
      </c>
      <c r="C674">
        <f>Calculs!C674</f>
        <v>1.1298158310096882</v>
      </c>
      <c r="D674">
        <f t="shared" si="20"/>
        <v>-3.7082411186100178E-3</v>
      </c>
      <c r="E674">
        <f t="shared" si="21"/>
        <v>-8.7262611227229663E-3</v>
      </c>
    </row>
    <row r="675" spans="1:5" x14ac:dyDescent="0.35">
      <c r="A675" s="1">
        <f>Calculs!A675</f>
        <v>45166</v>
      </c>
      <c r="B675">
        <f>Calculs!B675</f>
        <v>1917.9000244140625</v>
      </c>
      <c r="C675">
        <f>Calculs!C675</f>
        <v>1.1302883602884695</v>
      </c>
      <c r="D675">
        <f t="shared" si="20"/>
        <v>3.5518704503101632E-3</v>
      </c>
      <c r="E675">
        <f t="shared" si="21"/>
        <v>4.181482318254896E-4</v>
      </c>
    </row>
    <row r="676" spans="1:5" x14ac:dyDescent="0.35">
      <c r="A676" s="1">
        <f>Calculs!A676</f>
        <v>45167</v>
      </c>
      <c r="B676">
        <f>Calculs!B676</f>
        <v>1936.5</v>
      </c>
      <c r="C676">
        <f>Calculs!C676</f>
        <v>1.1318619385036568</v>
      </c>
      <c r="D676">
        <f t="shared" si="20"/>
        <v>9.6513697844355564E-3</v>
      </c>
      <c r="E676">
        <f t="shared" si="21"/>
        <v>1.3912236245602369E-3</v>
      </c>
    </row>
    <row r="677" spans="1:5" x14ac:dyDescent="0.35">
      <c r="A677" s="1">
        <f>Calculs!A677</f>
        <v>45168</v>
      </c>
      <c r="B677">
        <f>Calculs!B677</f>
        <v>1944.300048828125</v>
      </c>
      <c r="C677">
        <f>Calculs!C677</f>
        <v>1.1377081832694966</v>
      </c>
      <c r="D677">
        <f t="shared" si="20"/>
        <v>4.0198202604455977E-3</v>
      </c>
      <c r="E677">
        <f t="shared" si="21"/>
        <v>5.1518634657017077E-3</v>
      </c>
    </row>
    <row r="678" spans="1:5" x14ac:dyDescent="0.35">
      <c r="A678" s="1">
        <f>Calculs!A678</f>
        <v>45169</v>
      </c>
      <c r="B678">
        <f>Calculs!B678</f>
        <v>1938.199951171875</v>
      </c>
      <c r="C678">
        <f>Calculs!C678</f>
        <v>1.1388094995187765</v>
      </c>
      <c r="D678">
        <f t="shared" si="20"/>
        <v>-3.1423581073141311E-3</v>
      </c>
      <c r="E678">
        <f t="shared" si="21"/>
        <v>9.6754472282134887E-4</v>
      </c>
    </row>
    <row r="679" spans="1:5" x14ac:dyDescent="0.35">
      <c r="A679" s="1">
        <f>Calculs!A679</f>
        <v>45170</v>
      </c>
      <c r="B679">
        <f>Calculs!B679</f>
        <v>1939.800048828125</v>
      </c>
      <c r="C679">
        <f>Calculs!C679</f>
        <v>1.1322463898933413</v>
      </c>
      <c r="D679">
        <f t="shared" si="20"/>
        <v>8.2521802323535988E-4</v>
      </c>
      <c r="E679">
        <f t="shared" si="21"/>
        <v>-5.7798030657844265E-3</v>
      </c>
    </row>
    <row r="680" spans="1:5" x14ac:dyDescent="0.35">
      <c r="A680" s="1">
        <f>Calculs!A680</f>
        <v>45174</v>
      </c>
      <c r="B680">
        <f>Calculs!B680</f>
        <v>1926.199951171875</v>
      </c>
      <c r="C680">
        <f>Calculs!C680</f>
        <v>1.1302372672768222</v>
      </c>
      <c r="D680">
        <f t="shared" si="20"/>
        <v>-7.0357753538675908E-3</v>
      </c>
      <c r="E680">
        <f t="shared" si="21"/>
        <v>-1.7760332882542477E-3</v>
      </c>
    </row>
    <row r="681" spans="1:5" x14ac:dyDescent="0.35">
      <c r="A681" s="1">
        <f>Calculs!A681</f>
        <v>45175</v>
      </c>
      <c r="B681">
        <f>Calculs!B681</f>
        <v>1918.0999755859375</v>
      </c>
      <c r="C681">
        <f>Calculs!C681</f>
        <v>1.1243661490060508</v>
      </c>
      <c r="D681">
        <f t="shared" si="20"/>
        <v>-4.2140247779170774E-3</v>
      </c>
      <c r="E681">
        <f t="shared" si="21"/>
        <v>-5.2081279566420259E-3</v>
      </c>
    </row>
    <row r="682" spans="1:5" x14ac:dyDescent="0.35">
      <c r="A682" s="1">
        <f>Calculs!A682</f>
        <v>45176</v>
      </c>
      <c r="B682">
        <f>Calculs!B682</f>
        <v>1917.5</v>
      </c>
      <c r="C682">
        <f>Calculs!C682</f>
        <v>1.1218811893833704</v>
      </c>
      <c r="D682">
        <f t="shared" si="20"/>
        <v>-3.1284575797786132E-4</v>
      </c>
      <c r="E682">
        <f t="shared" si="21"/>
        <v>-2.2125440898162693E-3</v>
      </c>
    </row>
    <row r="683" spans="1:5" x14ac:dyDescent="0.35">
      <c r="A683" s="1">
        <f>Calculs!A683</f>
        <v>45177</v>
      </c>
      <c r="B683">
        <f>Calculs!B683</f>
        <v>1918.4000244140625</v>
      </c>
      <c r="C683">
        <f>Calculs!C683</f>
        <v>1.120234831636755</v>
      </c>
      <c r="D683">
        <f t="shared" si="20"/>
        <v>4.6926375810114266E-4</v>
      </c>
      <c r="E683">
        <f t="shared" si="21"/>
        <v>-1.4685752450578457E-3</v>
      </c>
    </row>
    <row r="684" spans="1:5" x14ac:dyDescent="0.35">
      <c r="A684" s="1">
        <f>Calculs!A684</f>
        <v>45180</v>
      </c>
      <c r="B684">
        <f>Calculs!B684</f>
        <v>1923.300048828125</v>
      </c>
      <c r="C684">
        <f>Calculs!C684</f>
        <v>1.1210762086127775</v>
      </c>
      <c r="D684">
        <f t="shared" si="20"/>
        <v>2.5509680494884674E-3</v>
      </c>
      <c r="E684">
        <f t="shared" si="21"/>
        <v>7.5079005139015243E-4</v>
      </c>
    </row>
    <row r="685" spans="1:5" x14ac:dyDescent="0.35">
      <c r="A685" s="1">
        <f>Calculs!A685</f>
        <v>45181</v>
      </c>
      <c r="B685">
        <f>Calculs!B685</f>
        <v>1911.300048828125</v>
      </c>
      <c r="C685">
        <f>Calculs!C685</f>
        <v>1.1220699700635828</v>
      </c>
      <c r="D685">
        <f t="shared" si="20"/>
        <v>-6.258821711373876E-3</v>
      </c>
      <c r="E685">
        <f t="shared" si="21"/>
        <v>8.8604258185812578E-4</v>
      </c>
    </row>
    <row r="686" spans="1:5" x14ac:dyDescent="0.35">
      <c r="A686" s="1">
        <f>Calculs!A686</f>
        <v>45182</v>
      </c>
      <c r="B686">
        <f>Calculs!B686</f>
        <v>1909.0999755859375</v>
      </c>
      <c r="C686">
        <f>Calculs!C686</f>
        <v>1.1218433808582162</v>
      </c>
      <c r="D686">
        <f t="shared" si="20"/>
        <v>-1.151750325271196E-3</v>
      </c>
      <c r="E686">
        <f t="shared" si="21"/>
        <v>-2.0195896249170764E-4</v>
      </c>
    </row>
    <row r="687" spans="1:5" x14ac:dyDescent="0.35">
      <c r="A687" s="1">
        <f>Calculs!A687</f>
        <v>45183</v>
      </c>
      <c r="B687">
        <f>Calculs!B687</f>
        <v>1910</v>
      </c>
      <c r="C687">
        <f>Calculs!C687</f>
        <v>1.1195701098315034</v>
      </c>
      <c r="D687">
        <f t="shared" si="20"/>
        <v>4.7132802831968489E-4</v>
      </c>
      <c r="E687">
        <f t="shared" si="21"/>
        <v>-2.0284269864585063E-3</v>
      </c>
    </row>
    <row r="688" spans="1:5" x14ac:dyDescent="0.35">
      <c r="A688" s="1">
        <f>Calculs!A688</f>
        <v>45184</v>
      </c>
      <c r="B688">
        <f>Calculs!B688</f>
        <v>1923.699951171875</v>
      </c>
      <c r="C688">
        <f>Calculs!C688</f>
        <v>1.1155734360629124</v>
      </c>
      <c r="D688">
        <f t="shared" si="20"/>
        <v>7.1471474890586499E-3</v>
      </c>
      <c r="E688">
        <f t="shared" si="21"/>
        <v>-3.5762159754734639E-3</v>
      </c>
    </row>
    <row r="689" spans="1:5" x14ac:dyDescent="0.35">
      <c r="A689" s="1">
        <f>Calculs!A689</f>
        <v>45187</v>
      </c>
      <c r="B689">
        <f>Calculs!B689</f>
        <v>1931.5</v>
      </c>
      <c r="C689">
        <f>Calculs!C689</f>
        <v>1.1149763985190815</v>
      </c>
      <c r="D689">
        <f t="shared" si="20"/>
        <v>4.0465135766017896E-3</v>
      </c>
      <c r="E689">
        <f t="shared" si="21"/>
        <v>-5.3532770156717181E-4</v>
      </c>
    </row>
    <row r="690" spans="1:5" x14ac:dyDescent="0.35">
      <c r="A690" s="1">
        <f>Calculs!A690</f>
        <v>45188</v>
      </c>
      <c r="B690">
        <f>Calculs!B690</f>
        <v>1932</v>
      </c>
      <c r="C690">
        <f>Calculs!C690</f>
        <v>1.1145165825802179</v>
      </c>
      <c r="D690">
        <f t="shared" si="20"/>
        <v>2.5883266612720474E-4</v>
      </c>
      <c r="E690">
        <f t="shared" si="21"/>
        <v>-4.124847660712614E-4</v>
      </c>
    </row>
    <row r="691" spans="1:5" x14ac:dyDescent="0.35">
      <c r="A691" s="1">
        <f>Calculs!A691</f>
        <v>45189</v>
      </c>
      <c r="B691">
        <f>Calculs!B691</f>
        <v>1945.5999755859375</v>
      </c>
      <c r="C691">
        <f>Calculs!C691</f>
        <v>1.1144420315597523</v>
      </c>
      <c r="D691">
        <f t="shared" si="20"/>
        <v>7.0146644510382973E-3</v>
      </c>
      <c r="E691">
        <f t="shared" si="21"/>
        <v>-6.6893140160149774E-5</v>
      </c>
    </row>
    <row r="692" spans="1:5" x14ac:dyDescent="0.35">
      <c r="A692" s="1">
        <f>Calculs!A692</f>
        <v>45190</v>
      </c>
      <c r="B692">
        <f>Calculs!B692</f>
        <v>1919.199951171875</v>
      </c>
      <c r="C692">
        <f>Calculs!C692</f>
        <v>1.1120996166464261</v>
      </c>
      <c r="D692">
        <f t="shared" si="20"/>
        <v>-1.3661993139932882E-2</v>
      </c>
      <c r="E692">
        <f t="shared" si="21"/>
        <v>-2.1040844031843561E-3</v>
      </c>
    </row>
    <row r="693" spans="1:5" x14ac:dyDescent="0.35">
      <c r="A693" s="1">
        <f>Calculs!A693</f>
        <v>45191</v>
      </c>
      <c r="B693">
        <f>Calculs!B693</f>
        <v>1925.4000244140625</v>
      </c>
      <c r="C693">
        <f>Calculs!C693</f>
        <v>1.1056198333927423</v>
      </c>
      <c r="D693">
        <f t="shared" si="20"/>
        <v>3.2253439402924861E-3</v>
      </c>
      <c r="E693">
        <f t="shared" si="21"/>
        <v>-5.8436622297484211E-3</v>
      </c>
    </row>
    <row r="694" spans="1:5" x14ac:dyDescent="0.35">
      <c r="A694" s="1">
        <f>Calculs!A694</f>
        <v>45194</v>
      </c>
      <c r="B694">
        <f>Calculs!B694</f>
        <v>1916.5999755859375</v>
      </c>
      <c r="C694">
        <f>Calculs!C694</f>
        <v>1.1024142607476779</v>
      </c>
      <c r="D694">
        <f t="shared" si="20"/>
        <v>-4.5809808524142244E-3</v>
      </c>
      <c r="E694">
        <f t="shared" si="21"/>
        <v>-2.9035556159711377E-3</v>
      </c>
    </row>
    <row r="695" spans="1:5" x14ac:dyDescent="0.35">
      <c r="A695" s="1">
        <f>Calculs!A695</f>
        <v>45195</v>
      </c>
      <c r="B695">
        <f>Calculs!B695</f>
        <v>1900.4000244140625</v>
      </c>
      <c r="C695">
        <f>Calculs!C695</f>
        <v>1.0963950651943781</v>
      </c>
      <c r="D695">
        <f t="shared" si="20"/>
        <v>-8.4883670118787724E-3</v>
      </c>
      <c r="E695">
        <f t="shared" si="21"/>
        <v>-5.4749727662959076E-3</v>
      </c>
    </row>
    <row r="696" spans="1:5" x14ac:dyDescent="0.35">
      <c r="A696" s="1">
        <f>Calculs!A696</f>
        <v>45196</v>
      </c>
      <c r="B696">
        <f>Calculs!B696</f>
        <v>1871.5999755859375</v>
      </c>
      <c r="C696">
        <f>Calculs!C696</f>
        <v>1.0919891905071257</v>
      </c>
      <c r="D696">
        <f t="shared" si="20"/>
        <v>-1.5270736211994373E-2</v>
      </c>
      <c r="E696">
        <f t="shared" si="21"/>
        <v>-4.0266060484396198E-3</v>
      </c>
    </row>
    <row r="697" spans="1:5" x14ac:dyDescent="0.35">
      <c r="A697" s="1">
        <f>Calculs!A697</f>
        <v>45197</v>
      </c>
      <c r="B697">
        <f>Calculs!B697</f>
        <v>1860.4000244140625</v>
      </c>
      <c r="C697">
        <f>Calculs!C697</f>
        <v>1.0859885780095744</v>
      </c>
      <c r="D697">
        <f t="shared" si="20"/>
        <v>-6.002135474614082E-3</v>
      </c>
      <c r="E697">
        <f t="shared" si="21"/>
        <v>-5.5102745008666605E-3</v>
      </c>
    </row>
    <row r="698" spans="1:5" x14ac:dyDescent="0.35">
      <c r="A698" s="1">
        <f>Calculs!A698</f>
        <v>45198</v>
      </c>
      <c r="B698">
        <f>Calculs!B698</f>
        <v>1848.0999755859375</v>
      </c>
      <c r="C698">
        <f>Calculs!C698</f>
        <v>1.0931829190690165</v>
      </c>
      <c r="D698">
        <f t="shared" si="20"/>
        <v>-6.6334603916072153E-3</v>
      </c>
      <c r="E698">
        <f t="shared" si="21"/>
        <v>6.6028462716731604E-3</v>
      </c>
    </row>
    <row r="699" spans="1:5" x14ac:dyDescent="0.35">
      <c r="A699" s="1">
        <f>Calculs!A699</f>
        <v>45201</v>
      </c>
      <c r="B699">
        <f>Calculs!B699</f>
        <v>1830</v>
      </c>
      <c r="C699">
        <f>Calculs!C699</f>
        <v>1.0923231318077249</v>
      </c>
      <c r="D699">
        <f t="shared" si="20"/>
        <v>-9.8421042458859825E-3</v>
      </c>
      <c r="E699">
        <f t="shared" si="21"/>
        <v>-7.8680844219332282E-4</v>
      </c>
    </row>
    <row r="700" spans="1:5" x14ac:dyDescent="0.35">
      <c r="A700" s="1">
        <f>Calculs!A700</f>
        <v>45202</v>
      </c>
      <c r="B700">
        <f>Calculs!B700</f>
        <v>1824.5999755859375</v>
      </c>
      <c r="C700">
        <f>Calculs!C700</f>
        <v>1.0894432638019425</v>
      </c>
      <c r="D700">
        <f t="shared" si="20"/>
        <v>-2.9551953045939619E-3</v>
      </c>
      <c r="E700">
        <f t="shared" si="21"/>
        <v>-2.6399431984402318E-3</v>
      </c>
    </row>
    <row r="701" spans="1:5" x14ac:dyDescent="0.35">
      <c r="A701" s="1">
        <f>Calculs!A701</f>
        <v>45203</v>
      </c>
      <c r="B701">
        <f>Calculs!B701</f>
        <v>1818.5</v>
      </c>
      <c r="C701">
        <f>Calculs!C701</f>
        <v>1.08581167179773</v>
      </c>
      <c r="D701">
        <f t="shared" si="20"/>
        <v>-3.3487861038289848E-3</v>
      </c>
      <c r="E701">
        <f t="shared" si="21"/>
        <v>-3.339006678085676E-3</v>
      </c>
    </row>
    <row r="702" spans="1:5" x14ac:dyDescent="0.35">
      <c r="A702" s="1">
        <f>Calculs!A702</f>
        <v>45204</v>
      </c>
      <c r="B702">
        <f>Calculs!B702</f>
        <v>1816.5999755859375</v>
      </c>
      <c r="C702">
        <f>Calculs!C702</f>
        <v>1.0909765300981313</v>
      </c>
      <c r="D702">
        <f t="shared" si="20"/>
        <v>-1.0453767983573286E-3</v>
      </c>
      <c r="E702">
        <f t="shared" si="21"/>
        <v>4.7454024127099358E-3</v>
      </c>
    </row>
    <row r="703" spans="1:5" x14ac:dyDescent="0.35">
      <c r="A703" s="1">
        <f>Calculs!A703</f>
        <v>45205</v>
      </c>
      <c r="B703">
        <f>Calculs!B703</f>
        <v>1830.199951171875</v>
      </c>
      <c r="C703">
        <f>Calculs!C703</f>
        <v>1.0957823015508088</v>
      </c>
      <c r="D703">
        <f t="shared" si="20"/>
        <v>7.4586151734713311E-3</v>
      </c>
      <c r="E703">
        <f t="shared" si="21"/>
        <v>4.3953444888698342E-3</v>
      </c>
    </row>
    <row r="704" spans="1:5" x14ac:dyDescent="0.35">
      <c r="A704" s="1">
        <f>Calculs!A704</f>
        <v>45208</v>
      </c>
      <c r="B704">
        <f>Calculs!B704</f>
        <v>1849.5</v>
      </c>
      <c r="C704">
        <f>Calculs!C704</f>
        <v>1.1004732164128117</v>
      </c>
      <c r="D704">
        <f t="shared" si="20"/>
        <v>1.0490108470351069E-2</v>
      </c>
      <c r="E704">
        <f t="shared" si="21"/>
        <v>4.2717452107690675E-3</v>
      </c>
    </row>
    <row r="705" spans="1:5" x14ac:dyDescent="0.35">
      <c r="A705" s="1">
        <f>Calculs!A705</f>
        <v>45209</v>
      </c>
      <c r="B705">
        <f>Calculs!B705</f>
        <v>1861</v>
      </c>
      <c r="C705">
        <f>Calculs!C705</f>
        <v>1.1051677735987862</v>
      </c>
      <c r="D705">
        <f t="shared" si="20"/>
        <v>6.1986453697419836E-3</v>
      </c>
      <c r="E705">
        <f t="shared" si="21"/>
        <v>4.2568707204701873E-3</v>
      </c>
    </row>
    <row r="706" spans="1:5" x14ac:dyDescent="0.35">
      <c r="A706" s="1">
        <f>Calculs!A706</f>
        <v>45210</v>
      </c>
      <c r="B706">
        <f>Calculs!B706</f>
        <v>1872.800048828125</v>
      </c>
      <c r="C706">
        <f>Calculs!C706</f>
        <v>1.105522063338739</v>
      </c>
      <c r="D706">
        <f t="shared" si="20"/>
        <v>6.3206856067081355E-3</v>
      </c>
      <c r="E706">
        <f t="shared" si="21"/>
        <v>3.2052415229514615E-4</v>
      </c>
    </row>
    <row r="707" spans="1:5" x14ac:dyDescent="0.35">
      <c r="A707" s="1">
        <f>Calculs!A707</f>
        <v>45211</v>
      </c>
      <c r="B707">
        <f>Calculs!B707</f>
        <v>1869.300048828125</v>
      </c>
      <c r="C707">
        <f>Calculs!C707</f>
        <v>1.1098902203901218</v>
      </c>
      <c r="D707">
        <f t="shared" si="20"/>
        <v>-1.8706079095983437E-3</v>
      </c>
      <c r="E707">
        <f t="shared" si="21"/>
        <v>3.9434309758978403E-3</v>
      </c>
    </row>
    <row r="708" spans="1:5" x14ac:dyDescent="0.35">
      <c r="A708" s="1">
        <f>Calculs!A708</f>
        <v>45212</v>
      </c>
      <c r="B708">
        <f>Calculs!B708</f>
        <v>1927.4000244140625</v>
      </c>
      <c r="C708">
        <f>Calculs!C708</f>
        <v>1.1015399694248955</v>
      </c>
      <c r="D708">
        <f t="shared" ref="D708:D771" si="22">LN(B708/B707)</f>
        <v>3.060790174466398E-2</v>
      </c>
      <c r="E708">
        <f t="shared" ref="E708:E771" si="23">LN(C708/C707)</f>
        <v>-7.5519369224794387E-3</v>
      </c>
    </row>
    <row r="709" spans="1:5" x14ac:dyDescent="0.35">
      <c r="A709" s="1">
        <f>Calculs!A709</f>
        <v>45215</v>
      </c>
      <c r="B709">
        <f>Calculs!B709</f>
        <v>1921.0999755859375</v>
      </c>
      <c r="C709">
        <f>Calculs!C709</f>
        <v>1.1080454942022697</v>
      </c>
      <c r="D709">
        <f t="shared" si="22"/>
        <v>-3.274031158004244E-3</v>
      </c>
      <c r="E709">
        <f t="shared" si="23"/>
        <v>5.8884742701629019E-3</v>
      </c>
    </row>
    <row r="710" spans="1:5" x14ac:dyDescent="0.35">
      <c r="A710" s="1">
        <f>Calculs!A710</f>
        <v>45216</v>
      </c>
      <c r="B710">
        <f>Calculs!B710</f>
        <v>1922.699951171875</v>
      </c>
      <c r="C710">
        <f>Calculs!C710</f>
        <v>1.1105311443810906</v>
      </c>
      <c r="D710">
        <f t="shared" si="22"/>
        <v>8.3249685666777465E-4</v>
      </c>
      <c r="E710">
        <f t="shared" si="23"/>
        <v>2.24076209551049E-3</v>
      </c>
    </row>
    <row r="711" spans="1:5" x14ac:dyDescent="0.35">
      <c r="A711" s="1">
        <f>Calculs!A711</f>
        <v>45217</v>
      </c>
      <c r="B711">
        <f>Calculs!B711</f>
        <v>1955.300048828125</v>
      </c>
      <c r="C711">
        <f>Calculs!C711</f>
        <v>1.1109753174221626</v>
      </c>
      <c r="D711">
        <f t="shared" si="22"/>
        <v>1.6813236521731816E-2</v>
      </c>
      <c r="E711">
        <f t="shared" si="23"/>
        <v>3.9988454197900408E-4</v>
      </c>
    </row>
    <row r="712" spans="1:5" x14ac:dyDescent="0.35">
      <c r="A712" s="1">
        <f>Calculs!A712</f>
        <v>45218</v>
      </c>
      <c r="B712">
        <f>Calculs!B712</f>
        <v>1968.4000244140625</v>
      </c>
      <c r="C712">
        <f>Calculs!C712</f>
        <v>1.1128793513556396</v>
      </c>
      <c r="D712">
        <f t="shared" si="22"/>
        <v>6.6773830904018538E-3</v>
      </c>
      <c r="E712">
        <f t="shared" si="23"/>
        <v>1.7123730479901768E-3</v>
      </c>
    </row>
    <row r="713" spans="1:5" x14ac:dyDescent="0.35">
      <c r="A713" s="1">
        <f>Calculs!A713</f>
        <v>45219</v>
      </c>
      <c r="B713">
        <f>Calculs!B713</f>
        <v>1982.5</v>
      </c>
      <c r="C713">
        <f>Calculs!C713</f>
        <v>1.1213402600617721</v>
      </c>
      <c r="D713">
        <f t="shared" si="22"/>
        <v>7.1376321141812813E-3</v>
      </c>
      <c r="E713">
        <f t="shared" si="23"/>
        <v>7.5739637316525575E-3</v>
      </c>
    </row>
    <row r="714" spans="1:5" x14ac:dyDescent="0.35">
      <c r="A714" s="1">
        <f>Calculs!A714</f>
        <v>45222</v>
      </c>
      <c r="B714">
        <f>Calculs!B714</f>
        <v>1976.300048828125</v>
      </c>
      <c r="C714">
        <f>Calculs!C714</f>
        <v>1.1195701098315034</v>
      </c>
      <c r="D714">
        <f t="shared" si="22"/>
        <v>-3.1322401557761035E-3</v>
      </c>
      <c r="E714">
        <f t="shared" si="23"/>
        <v>-1.5798495310038897E-3</v>
      </c>
    </row>
    <row r="715" spans="1:5" x14ac:dyDescent="0.35">
      <c r="A715" s="1">
        <f>Calculs!A715</f>
        <v>45223</v>
      </c>
      <c r="B715">
        <f>Calculs!B715</f>
        <v>1975</v>
      </c>
      <c r="C715">
        <f>Calculs!C715</f>
        <v>1.1228385034750523</v>
      </c>
      <c r="D715">
        <f t="shared" si="22"/>
        <v>-6.5803601800473461E-4</v>
      </c>
      <c r="E715">
        <f t="shared" si="23"/>
        <v>2.9150761717834377E-3</v>
      </c>
    </row>
    <row r="716" spans="1:5" x14ac:dyDescent="0.35">
      <c r="A716" s="1">
        <f>Calculs!A716</f>
        <v>45224</v>
      </c>
      <c r="B716">
        <f>Calculs!B716</f>
        <v>1984.0999755859375</v>
      </c>
      <c r="C716">
        <f>Calculs!C716</f>
        <v>1.1197455580004647</v>
      </c>
      <c r="D716">
        <f t="shared" si="22"/>
        <v>4.5970001603473989E-3</v>
      </c>
      <c r="E716">
        <f t="shared" si="23"/>
        <v>-2.7583781485072067E-3</v>
      </c>
    </row>
    <row r="717" spans="1:5" x14ac:dyDescent="0.35">
      <c r="A717" s="1">
        <f>Calculs!A717</f>
        <v>45225</v>
      </c>
      <c r="B717">
        <f>Calculs!B717</f>
        <v>1987.199951171875</v>
      </c>
      <c r="C717">
        <f>Calculs!C717</f>
        <v>1.1152001478317457</v>
      </c>
      <c r="D717">
        <f t="shared" si="22"/>
        <v>1.5611896722705911E-3</v>
      </c>
      <c r="E717">
        <f t="shared" si="23"/>
        <v>-4.0675855560478678E-3</v>
      </c>
    </row>
    <row r="718" spans="1:5" x14ac:dyDescent="0.35">
      <c r="A718" s="1">
        <f>Calculs!A718</f>
        <v>45226</v>
      </c>
      <c r="B718">
        <f>Calculs!B718</f>
        <v>1988.5999755859375</v>
      </c>
      <c r="C718">
        <f>Calculs!C718</f>
        <v>1.1125574400036076</v>
      </c>
      <c r="D718">
        <f t="shared" si="22"/>
        <v>7.0427310112253379E-4</v>
      </c>
      <c r="E718">
        <f t="shared" si="23"/>
        <v>-2.3725283955441964E-3</v>
      </c>
    </row>
    <row r="719" spans="1:5" x14ac:dyDescent="0.35">
      <c r="A719" s="1">
        <f>Calculs!A719</f>
        <v>45229</v>
      </c>
      <c r="B719">
        <f>Calculs!B719</f>
        <v>1996.199951171875</v>
      </c>
      <c r="C719">
        <f>Calculs!C719</f>
        <v>1.1081560077570582</v>
      </c>
      <c r="D719">
        <f t="shared" si="22"/>
        <v>3.8144875229852628E-3</v>
      </c>
      <c r="E719">
        <f t="shared" si="23"/>
        <v>-3.9639855510052464E-3</v>
      </c>
    </row>
    <row r="720" spans="1:5" x14ac:dyDescent="0.35">
      <c r="A720" s="1">
        <f>Calculs!A720</f>
        <v>45230</v>
      </c>
      <c r="B720">
        <f>Calculs!B720</f>
        <v>1985.199951171875</v>
      </c>
      <c r="C720">
        <f>Calculs!C720</f>
        <v>1.1085737431243643</v>
      </c>
      <c r="D720">
        <f t="shared" si="22"/>
        <v>-5.5257086747362814E-3</v>
      </c>
      <c r="E720">
        <f t="shared" si="23"/>
        <v>3.7689336923889038E-4</v>
      </c>
    </row>
    <row r="721" spans="1:5" x14ac:dyDescent="0.35">
      <c r="A721" s="1">
        <f>Calculs!A721</f>
        <v>45231</v>
      </c>
      <c r="B721">
        <f>Calculs!B721</f>
        <v>1978.800048828125</v>
      </c>
      <c r="C721">
        <f>Calculs!C721</f>
        <v>1.0991426771290791</v>
      </c>
      <c r="D721">
        <f t="shared" si="22"/>
        <v>-3.2290150880346837E-3</v>
      </c>
      <c r="E721">
        <f t="shared" si="23"/>
        <v>-8.5437815092812303E-3</v>
      </c>
    </row>
    <row r="722" spans="1:5" x14ac:dyDescent="0.35">
      <c r="A722" s="1">
        <f>Calculs!A722</f>
        <v>45232</v>
      </c>
      <c r="B722">
        <f>Calculs!B722</f>
        <v>1985.5999755859375</v>
      </c>
      <c r="C722">
        <f>Calculs!C722</f>
        <v>1.1043012496603613</v>
      </c>
      <c r="D722">
        <f t="shared" si="22"/>
        <v>3.430498125606122E-3</v>
      </c>
      <c r="E722">
        <f t="shared" si="23"/>
        <v>4.6822902032628826E-3</v>
      </c>
    </row>
    <row r="723" spans="1:5" x14ac:dyDescent="0.35">
      <c r="A723" s="1">
        <f>Calculs!A723</f>
        <v>45233</v>
      </c>
      <c r="B723">
        <f>Calculs!B723</f>
        <v>1991.5</v>
      </c>
      <c r="C723">
        <f>Calculs!C723</f>
        <v>1.1036309761288687</v>
      </c>
      <c r="D723">
        <f t="shared" si="22"/>
        <v>2.9670004669155115E-3</v>
      </c>
      <c r="E723">
        <f t="shared" si="23"/>
        <v>-6.0715047704260777E-4</v>
      </c>
    </row>
    <row r="724" spans="1:5" x14ac:dyDescent="0.35">
      <c r="A724" s="1">
        <f>Calculs!A724</f>
        <v>45236</v>
      </c>
      <c r="B724">
        <f>Calculs!B724</f>
        <v>1981.5999755859375</v>
      </c>
      <c r="C724">
        <f>Calculs!C724</f>
        <v>1.1120873060484255</v>
      </c>
      <c r="D724">
        <f t="shared" si="22"/>
        <v>-4.9835367669279649E-3</v>
      </c>
      <c r="E724">
        <f t="shared" si="23"/>
        <v>7.6330741554215672E-3</v>
      </c>
    </row>
    <row r="725" spans="1:5" x14ac:dyDescent="0.35">
      <c r="A725" s="1">
        <f>Calculs!A725</f>
        <v>45237</v>
      </c>
      <c r="B725">
        <f>Calculs!B725</f>
        <v>1966.800048828125</v>
      </c>
      <c r="C725">
        <f>Calculs!C725</f>
        <v>1.1120996166464261</v>
      </c>
      <c r="D725">
        <f t="shared" si="22"/>
        <v>-7.4967054908099675E-3</v>
      </c>
      <c r="E725">
        <f t="shared" si="23"/>
        <v>1.1069751265146828E-5</v>
      </c>
    </row>
    <row r="726" spans="1:5" x14ac:dyDescent="0.35">
      <c r="A726" s="1">
        <f>Calculs!A726</f>
        <v>45238</v>
      </c>
      <c r="B726">
        <f>Calculs!B726</f>
        <v>1951.5</v>
      </c>
      <c r="C726">
        <f>Calculs!C726</f>
        <v>1.1111481555290681</v>
      </c>
      <c r="D726">
        <f t="shared" si="22"/>
        <v>-7.8095737432913991E-3</v>
      </c>
      <c r="E726">
        <f t="shared" si="23"/>
        <v>-8.5592005295356214E-4</v>
      </c>
    </row>
    <row r="727" spans="1:5" x14ac:dyDescent="0.35">
      <c r="A727" s="1">
        <f>Calculs!A727</f>
        <v>45239</v>
      </c>
      <c r="B727">
        <f>Calculs!B727</f>
        <v>1964.199951171875</v>
      </c>
      <c r="C727">
        <f>Calculs!C727</f>
        <v>1.1122481024504081</v>
      </c>
      <c r="D727">
        <f t="shared" si="22"/>
        <v>6.4867052439646052E-3</v>
      </c>
      <c r="E727">
        <f t="shared" si="23"/>
        <v>9.894295784002821E-4</v>
      </c>
    </row>
    <row r="728" spans="1:5" x14ac:dyDescent="0.35">
      <c r="A728" s="1">
        <f>Calculs!A728</f>
        <v>45240</v>
      </c>
      <c r="B728">
        <f>Calculs!B728</f>
        <v>1932.5999755859375</v>
      </c>
      <c r="C728">
        <f>Calculs!C728</f>
        <v>1.1072357588526078</v>
      </c>
      <c r="D728">
        <f t="shared" si="22"/>
        <v>-1.6218778932181269E-2</v>
      </c>
      <c r="E728">
        <f t="shared" si="23"/>
        <v>-4.5166826453201811E-3</v>
      </c>
    </row>
    <row r="729" spans="1:5" x14ac:dyDescent="0.35">
      <c r="A729" s="1">
        <f>Calculs!A729</f>
        <v>45243</v>
      </c>
      <c r="B729">
        <f>Calculs!B729</f>
        <v>1945.5</v>
      </c>
      <c r="C729">
        <f>Calculs!C729</f>
        <v>1.108672053715682</v>
      </c>
      <c r="D729">
        <f t="shared" si="22"/>
        <v>6.6527794921554017E-3</v>
      </c>
      <c r="E729">
        <f t="shared" si="23"/>
        <v>1.2963491135068509E-3</v>
      </c>
    </row>
    <row r="730" spans="1:5" x14ac:dyDescent="0.35">
      <c r="A730" s="1">
        <f>Calculs!A730</f>
        <v>45244</v>
      </c>
      <c r="B730">
        <f>Calculs!B730</f>
        <v>1961.800048828125</v>
      </c>
      <c r="C730">
        <f>Calculs!C730</f>
        <v>1.1096316066527303</v>
      </c>
      <c r="D730">
        <f t="shared" si="22"/>
        <v>8.3434305950576618E-3</v>
      </c>
      <c r="E730">
        <f t="shared" si="23"/>
        <v>8.651232146784459E-4</v>
      </c>
    </row>
    <row r="731" spans="1:5" x14ac:dyDescent="0.35">
      <c r="A731" s="1">
        <f>Calculs!A731</f>
        <v>45245</v>
      </c>
      <c r="B731">
        <f>Calculs!B731</f>
        <v>1960.0999755859375</v>
      </c>
      <c r="C731">
        <f>Calculs!C731</f>
        <v>1.1247328567598711</v>
      </c>
      <c r="D731">
        <f t="shared" si="22"/>
        <v>-8.6696414395553013E-4</v>
      </c>
      <c r="E731">
        <f t="shared" si="23"/>
        <v>1.3517472460756807E-2</v>
      </c>
    </row>
    <row r="732" spans="1:5" x14ac:dyDescent="0.35">
      <c r="A732" s="1">
        <f>Calculs!A732</f>
        <v>45246</v>
      </c>
      <c r="B732">
        <f>Calculs!B732</f>
        <v>1983.9000244140625</v>
      </c>
      <c r="C732">
        <f>Calculs!C732</f>
        <v>1.1272940259023663</v>
      </c>
      <c r="D732">
        <f t="shared" si="22"/>
        <v>1.2069136779111171E-2</v>
      </c>
      <c r="E732">
        <f t="shared" si="23"/>
        <v>2.2745467795348075E-3</v>
      </c>
    </row>
    <row r="733" spans="1:5" x14ac:dyDescent="0.35">
      <c r="A733" s="1">
        <f>Calculs!A733</f>
        <v>45247</v>
      </c>
      <c r="B733">
        <f>Calculs!B733</f>
        <v>1981.5999755859375</v>
      </c>
      <c r="C733">
        <f>Calculs!C733</f>
        <v>1.1255177284705493</v>
      </c>
      <c r="D733">
        <f t="shared" si="22"/>
        <v>-1.1600298000505828E-3</v>
      </c>
      <c r="E733">
        <f t="shared" si="23"/>
        <v>-1.5769606994261946E-3</v>
      </c>
    </row>
    <row r="734" spans="1:5" x14ac:dyDescent="0.35">
      <c r="A734" s="1">
        <f>Calculs!A734</f>
        <v>45250</v>
      </c>
      <c r="B734">
        <f>Calculs!B734</f>
        <v>1977.699951171875</v>
      </c>
      <c r="C734">
        <f>Calculs!C734</f>
        <v>1.1287573488208213</v>
      </c>
      <c r="D734">
        <f t="shared" si="22"/>
        <v>-1.9700582161407579E-3</v>
      </c>
      <c r="E734">
        <f t="shared" si="23"/>
        <v>2.8742034307413021E-3</v>
      </c>
    </row>
    <row r="735" spans="1:5" x14ac:dyDescent="0.35">
      <c r="A735" s="1">
        <f>Calculs!A735</f>
        <v>45251</v>
      </c>
      <c r="B735">
        <f>Calculs!B735</f>
        <v>1999.300048828125</v>
      </c>
      <c r="C735">
        <f>Calculs!C735</f>
        <v>1.1307612087780772</v>
      </c>
      <c r="D735">
        <f t="shared" si="22"/>
        <v>1.0862615061766792E-2</v>
      </c>
      <c r="E735">
        <f t="shared" si="23"/>
        <v>1.7737057090037121E-3</v>
      </c>
    </row>
    <row r="736" spans="1:5" x14ac:dyDescent="0.35">
      <c r="A736" s="1">
        <f>Calculs!A736</f>
        <v>45252</v>
      </c>
      <c r="B736">
        <f>Calculs!B736</f>
        <v>1991.4000244140625</v>
      </c>
      <c r="C736">
        <f>Calculs!C736</f>
        <v>1.1322719885172079</v>
      </c>
      <c r="D736">
        <f t="shared" si="22"/>
        <v>-3.9592224866650304E-3</v>
      </c>
      <c r="E736">
        <f t="shared" si="23"/>
        <v>1.3351814417716004E-3</v>
      </c>
    </row>
    <row r="737" spans="1:5" x14ac:dyDescent="0.35">
      <c r="A737" s="1">
        <f>Calculs!A737</f>
        <v>45254</v>
      </c>
      <c r="B737">
        <f>Calculs!B737</f>
        <v>2002.199951171875</v>
      </c>
      <c r="C737">
        <f>Calculs!C737</f>
        <v>1.1306206155909746</v>
      </c>
      <c r="D737">
        <f t="shared" si="22"/>
        <v>5.4086303844145013E-3</v>
      </c>
      <c r="E737">
        <f t="shared" si="23"/>
        <v>-1.459524165117678E-3</v>
      </c>
    </row>
    <row r="738" spans="1:5" x14ac:dyDescent="0.35">
      <c r="A738" s="1">
        <f>Calculs!A738</f>
        <v>45257</v>
      </c>
      <c r="B738">
        <f>Calculs!B738</f>
        <v>2011.800048828125</v>
      </c>
      <c r="C738">
        <f>Calculs!C738</f>
        <v>1.1334655568931649</v>
      </c>
      <c r="D738">
        <f t="shared" si="22"/>
        <v>4.7833163729554557E-3</v>
      </c>
      <c r="E738">
        <f t="shared" si="23"/>
        <v>2.5131046989997938E-3</v>
      </c>
    </row>
    <row r="739" spans="1:5" x14ac:dyDescent="0.35">
      <c r="A739" s="1">
        <f>Calculs!A739</f>
        <v>45258</v>
      </c>
      <c r="B739">
        <f>Calculs!B739</f>
        <v>2039.699951171875</v>
      </c>
      <c r="C739">
        <f>Calculs!C739</f>
        <v>1.136363642521141</v>
      </c>
      <c r="D739">
        <f t="shared" si="22"/>
        <v>1.3772846290545529E-2</v>
      </c>
      <c r="E739">
        <f t="shared" si="23"/>
        <v>2.5535729327367715E-3</v>
      </c>
    </row>
    <row r="740" spans="1:5" x14ac:dyDescent="0.35">
      <c r="A740" s="1">
        <f>Calculs!A740</f>
        <v>45259</v>
      </c>
      <c r="B740">
        <f>Calculs!B740</f>
        <v>2047.0999755859375</v>
      </c>
      <c r="C740">
        <f>Calculs!C740</f>
        <v>1.1403808647682858</v>
      </c>
      <c r="D740">
        <f t="shared" si="22"/>
        <v>3.6214312587581126E-3</v>
      </c>
      <c r="E740">
        <f t="shared" si="23"/>
        <v>3.5289215836477911E-3</v>
      </c>
    </row>
    <row r="741" spans="1:5" x14ac:dyDescent="0.35">
      <c r="A741" s="1">
        <f>Calculs!A741</f>
        <v>45260</v>
      </c>
      <c r="B741">
        <f>Calculs!B741</f>
        <v>2038.0999755859375</v>
      </c>
      <c r="C741">
        <f>Calculs!C741</f>
        <v>1.145055671361719</v>
      </c>
      <c r="D741">
        <f t="shared" si="22"/>
        <v>-4.4061562069063493E-3</v>
      </c>
      <c r="E741">
        <f t="shared" si="23"/>
        <v>4.0909585887008515E-3</v>
      </c>
    </row>
    <row r="742" spans="1:5" x14ac:dyDescent="0.35">
      <c r="A742" s="1">
        <f>Calculs!A742</f>
        <v>45261</v>
      </c>
      <c r="B742">
        <f>Calculs!B742</f>
        <v>2071</v>
      </c>
      <c r="C742">
        <f>Calculs!C742</f>
        <v>1.1433013773684166</v>
      </c>
      <c r="D742">
        <f t="shared" si="22"/>
        <v>1.6013593082084946E-2</v>
      </c>
      <c r="E742">
        <f t="shared" si="23"/>
        <v>-1.5332348052445645E-3</v>
      </c>
    </row>
    <row r="743" spans="1:5" x14ac:dyDescent="0.35">
      <c r="A743" s="1">
        <f>Calculs!A743</f>
        <v>45264</v>
      </c>
      <c r="B743">
        <f>Calculs!B743</f>
        <v>2024.0999755859375</v>
      </c>
      <c r="C743">
        <f>Calculs!C743</f>
        <v>1.1522728507420996</v>
      </c>
      <c r="D743">
        <f t="shared" si="22"/>
        <v>-2.2906437155782732E-2</v>
      </c>
      <c r="E743">
        <f t="shared" si="23"/>
        <v>7.8163615361845993E-3</v>
      </c>
    </row>
    <row r="744" spans="1:5" x14ac:dyDescent="0.35">
      <c r="A744" s="1">
        <f>Calculs!A744</f>
        <v>45265</v>
      </c>
      <c r="B744">
        <f>Calculs!B744</f>
        <v>2018.5</v>
      </c>
      <c r="C744">
        <f>Calculs!C744</f>
        <v>1.1461186481562156</v>
      </c>
      <c r="D744">
        <f t="shared" si="22"/>
        <v>-2.7704839468059126E-3</v>
      </c>
      <c r="E744">
        <f t="shared" si="23"/>
        <v>-5.3552384758144443E-3</v>
      </c>
    </row>
    <row r="745" spans="1:5" x14ac:dyDescent="0.35">
      <c r="A745" s="1">
        <f>Calculs!A745</f>
        <v>45266</v>
      </c>
      <c r="B745">
        <f>Calculs!B745</f>
        <v>2030.5</v>
      </c>
      <c r="C745">
        <f>Calculs!C745</f>
        <v>1.1429407609106621</v>
      </c>
      <c r="D745">
        <f t="shared" si="22"/>
        <v>5.9274068333569612E-3</v>
      </c>
      <c r="E745">
        <f t="shared" si="23"/>
        <v>-2.7765896110975548E-3</v>
      </c>
    </row>
    <row r="746" spans="1:5" x14ac:dyDescent="0.35">
      <c r="A746" s="1">
        <f>Calculs!A746</f>
        <v>45267</v>
      </c>
      <c r="B746">
        <f>Calculs!B746</f>
        <v>2029.9000244140625</v>
      </c>
      <c r="C746">
        <f>Calculs!C746</f>
        <v>1.1433275562313379</v>
      </c>
      <c r="D746">
        <f t="shared" si="22"/>
        <v>-2.9552536040616107E-4</v>
      </c>
      <c r="E746">
        <f t="shared" si="23"/>
        <v>3.383638932193701E-4</v>
      </c>
    </row>
    <row r="747" spans="1:5" x14ac:dyDescent="0.35">
      <c r="A747" s="1">
        <f>Calculs!A747</f>
        <v>45268</v>
      </c>
      <c r="B747">
        <f>Calculs!B747</f>
        <v>1998.300048828125</v>
      </c>
      <c r="C747">
        <f>Calculs!C747</f>
        <v>1.1422827358820586</v>
      </c>
      <c r="D747">
        <f t="shared" si="22"/>
        <v>-1.568969924387106E-2</v>
      </c>
      <c r="E747">
        <f t="shared" si="23"/>
        <v>-9.1425946554602084E-4</v>
      </c>
    </row>
    <row r="748" spans="1:5" x14ac:dyDescent="0.35">
      <c r="A748" s="1">
        <f>Calculs!A748</f>
        <v>45271</v>
      </c>
      <c r="B748">
        <f>Calculs!B748</f>
        <v>1978</v>
      </c>
      <c r="C748">
        <f>Calculs!C748</f>
        <v>1.1368545306393496</v>
      </c>
      <c r="D748">
        <f t="shared" si="22"/>
        <v>-1.0210610339417879E-2</v>
      </c>
      <c r="E748">
        <f t="shared" si="23"/>
        <v>-4.7633949795315485E-3</v>
      </c>
    </row>
    <row r="749" spans="1:5" x14ac:dyDescent="0.35">
      <c r="A749" s="1">
        <f>Calculs!A749</f>
        <v>45272</v>
      </c>
      <c r="B749">
        <f>Calculs!B749</f>
        <v>1977.800048828125</v>
      </c>
      <c r="C749">
        <f>Calculs!C749</f>
        <v>1.1388224861497767</v>
      </c>
      <c r="D749">
        <f t="shared" si="22"/>
        <v>-1.0109265866683018E-4</v>
      </c>
      <c r="E749">
        <f t="shared" si="23"/>
        <v>1.7295565112985445E-3</v>
      </c>
    </row>
    <row r="750" spans="1:5" x14ac:dyDescent="0.35">
      <c r="A750" s="1">
        <f>Calculs!A750</f>
        <v>45273</v>
      </c>
      <c r="B750">
        <f>Calculs!B750</f>
        <v>1982.300048828125</v>
      </c>
      <c r="C750">
        <f>Calculs!C750</f>
        <v>1.1426873751255342</v>
      </c>
      <c r="D750">
        <f t="shared" si="22"/>
        <v>2.2726708042306704E-3</v>
      </c>
      <c r="E750">
        <f t="shared" si="23"/>
        <v>3.3880131208958463E-3</v>
      </c>
    </row>
    <row r="751" spans="1:5" x14ac:dyDescent="0.35">
      <c r="A751" s="1">
        <f>Calculs!A751</f>
        <v>45274</v>
      </c>
      <c r="B751">
        <f>Calculs!B751</f>
        <v>2030.199951171875</v>
      </c>
      <c r="C751">
        <f>Calculs!C751</f>
        <v>1.1481451572946142</v>
      </c>
      <c r="D751">
        <f t="shared" si="22"/>
        <v>2.3876474971215301E-2</v>
      </c>
      <c r="E751">
        <f t="shared" si="23"/>
        <v>4.7648987152738532E-3</v>
      </c>
    </row>
    <row r="752" spans="1:5" x14ac:dyDescent="0.35">
      <c r="A752" s="1">
        <f>Calculs!A752</f>
        <v>45275</v>
      </c>
      <c r="B752">
        <f>Calculs!B752</f>
        <v>2021.0999755859375</v>
      </c>
      <c r="C752">
        <f>Calculs!C752</f>
        <v>1.1532296441297505</v>
      </c>
      <c r="D752">
        <f t="shared" si="22"/>
        <v>-4.4923807443041424E-3</v>
      </c>
      <c r="E752">
        <f t="shared" si="23"/>
        <v>4.4186588857045165E-3</v>
      </c>
    </row>
    <row r="753" spans="1:5" x14ac:dyDescent="0.35">
      <c r="A753" s="1">
        <f>Calculs!A753</f>
        <v>45278</v>
      </c>
      <c r="B753">
        <f>Calculs!B753</f>
        <v>2026.300048828125</v>
      </c>
      <c r="C753">
        <f>Calculs!C753</f>
        <v>1.1486172611735941</v>
      </c>
      <c r="D753">
        <f t="shared" si="22"/>
        <v>2.5695884133355284E-3</v>
      </c>
      <c r="E753">
        <f t="shared" si="23"/>
        <v>-4.0075550799014174E-3</v>
      </c>
    </row>
    <row r="754" spans="1:5" x14ac:dyDescent="0.35">
      <c r="A754" s="1">
        <f>Calculs!A754</f>
        <v>45279</v>
      </c>
      <c r="B754">
        <f>Calculs!B754</f>
        <v>2038.4000244140625</v>
      </c>
      <c r="C754">
        <f>Calculs!C754</f>
        <v>1.1532562003649789</v>
      </c>
      <c r="D754">
        <f t="shared" si="22"/>
        <v>5.9537043864478579E-3</v>
      </c>
      <c r="E754">
        <f t="shared" si="23"/>
        <v>4.0305825225305462E-3</v>
      </c>
    </row>
    <row r="755" spans="1:5" x14ac:dyDescent="0.35">
      <c r="A755" s="1">
        <f>Calculs!A755</f>
        <v>45280</v>
      </c>
      <c r="B755">
        <f>Calculs!B755</f>
        <v>2034.5</v>
      </c>
      <c r="C755">
        <f>Calculs!C755</f>
        <v>1.1623852084039015</v>
      </c>
      <c r="D755">
        <f t="shared" si="22"/>
        <v>-1.9151099131709602E-3</v>
      </c>
      <c r="E755">
        <f t="shared" si="23"/>
        <v>7.8846882759019098E-3</v>
      </c>
    </row>
    <row r="756" spans="1:5" x14ac:dyDescent="0.35">
      <c r="A756" s="1">
        <f>Calculs!A756</f>
        <v>45281</v>
      </c>
      <c r="B756">
        <f>Calculs!B756</f>
        <v>2039.0999755859375</v>
      </c>
      <c r="C756">
        <f>Calculs!C756</f>
        <v>1.1594740394361229</v>
      </c>
      <c r="D756">
        <f t="shared" si="22"/>
        <v>2.2584336059977327E-3</v>
      </c>
      <c r="E756">
        <f t="shared" si="23"/>
        <v>-2.5076201289786593E-3</v>
      </c>
    </row>
    <row r="757" spans="1:5" x14ac:dyDescent="0.35">
      <c r="A757" s="1">
        <f>Calculs!A757</f>
        <v>45282</v>
      </c>
      <c r="B757">
        <f>Calculs!B757</f>
        <v>2057.10009765625</v>
      </c>
      <c r="C757">
        <f>Calculs!C757</f>
        <v>1.1678559125068122</v>
      </c>
      <c r="D757">
        <f t="shared" si="22"/>
        <v>8.7887493834622587E-3</v>
      </c>
      <c r="E757">
        <f t="shared" si="23"/>
        <v>7.2030262007298455E-3</v>
      </c>
    </row>
    <row r="758" spans="1:5" x14ac:dyDescent="0.35">
      <c r="A758" s="1">
        <f>Calculs!A758</f>
        <v>45286</v>
      </c>
      <c r="B758">
        <f>Calculs!B758</f>
        <v>2058.199951171875</v>
      </c>
      <c r="C758">
        <f>Calculs!C758</f>
        <v>1.1685792266942769</v>
      </c>
      <c r="D758">
        <f t="shared" si="22"/>
        <v>5.3451924708380275E-4</v>
      </c>
      <c r="E758">
        <f t="shared" si="23"/>
        <v>6.1916053087567448E-4</v>
      </c>
    </row>
    <row r="759" spans="1:5" x14ac:dyDescent="0.35">
      <c r="A759" s="1">
        <f>Calculs!A759</f>
        <v>45287</v>
      </c>
      <c r="B759">
        <f>Calculs!B759</f>
        <v>2081.89990234375</v>
      </c>
      <c r="C759">
        <f>Calculs!C759</f>
        <v>1.1715363554955709</v>
      </c>
      <c r="D759">
        <f t="shared" si="22"/>
        <v>1.1449100696166307E-2</v>
      </c>
      <c r="E759">
        <f t="shared" si="23"/>
        <v>2.5273370237251435E-3</v>
      </c>
    </row>
    <row r="760" spans="1:5" x14ac:dyDescent="0.35">
      <c r="A760" s="1">
        <f>Calculs!A760</f>
        <v>45288</v>
      </c>
      <c r="B760">
        <f>Calculs!B760</f>
        <v>2073.89990234375</v>
      </c>
      <c r="C760">
        <f>Calculs!C760</f>
        <v>1.187183200169375</v>
      </c>
      <c r="D760">
        <f t="shared" si="22"/>
        <v>-3.8500458433421737E-3</v>
      </c>
      <c r="E760">
        <f t="shared" si="23"/>
        <v>1.3267430759063623E-2</v>
      </c>
    </row>
    <row r="761" spans="1:5" x14ac:dyDescent="0.35">
      <c r="A761" s="1">
        <f>Calculs!A761</f>
        <v>45289</v>
      </c>
      <c r="B761">
        <f>Calculs!B761</f>
        <v>2062.39990234375</v>
      </c>
      <c r="C761">
        <f>Calculs!C761</f>
        <v>1.1857332478728706</v>
      </c>
      <c r="D761">
        <f t="shared" si="22"/>
        <v>-5.5605396969713086E-3</v>
      </c>
      <c r="E761">
        <f t="shared" si="23"/>
        <v>-1.2220847288223742E-3</v>
      </c>
    </row>
    <row r="762" spans="1:5" x14ac:dyDescent="0.35">
      <c r="A762" s="1">
        <f>Calculs!A762</f>
        <v>45293</v>
      </c>
      <c r="B762">
        <f>Calculs!B762</f>
        <v>2064.39990234375</v>
      </c>
      <c r="C762">
        <f>Calculs!C762</f>
        <v>1.1878036641115446</v>
      </c>
      <c r="D762">
        <f t="shared" si="22"/>
        <v>9.6927413552285076E-4</v>
      </c>
      <c r="E762">
        <f t="shared" si="23"/>
        <v>1.7445835818620063E-3</v>
      </c>
    </row>
    <row r="763" spans="1:5" x14ac:dyDescent="0.35">
      <c r="A763" s="1">
        <f>Calculs!A763</f>
        <v>45294</v>
      </c>
      <c r="B763">
        <f>Calculs!B763</f>
        <v>2034.199951171875</v>
      </c>
      <c r="C763">
        <f>Calculs!C763</f>
        <v>1.1763045106564021</v>
      </c>
      <c r="D763">
        <f t="shared" si="22"/>
        <v>-1.4736982781769346E-2</v>
      </c>
      <c r="E763">
        <f t="shared" si="23"/>
        <v>-9.7281877922991682E-3</v>
      </c>
    </row>
    <row r="764" spans="1:5" x14ac:dyDescent="0.35">
      <c r="A764" s="1">
        <f>Calculs!A764</f>
        <v>45295</v>
      </c>
      <c r="B764">
        <f>Calculs!B764</f>
        <v>2042.300048828125</v>
      </c>
      <c r="C764">
        <f>Calculs!C764</f>
        <v>1.1779950244973048</v>
      </c>
      <c r="D764">
        <f t="shared" si="22"/>
        <v>3.9740504436172235E-3</v>
      </c>
      <c r="E764">
        <f t="shared" si="23"/>
        <v>1.4361079431093877E-3</v>
      </c>
    </row>
    <row r="765" spans="1:5" x14ac:dyDescent="0.35">
      <c r="A765" s="1">
        <f>Calculs!A765</f>
        <v>45296</v>
      </c>
      <c r="B765">
        <f>Calculs!B765</f>
        <v>2042.4000244140625</v>
      </c>
      <c r="C765">
        <f>Calculs!C765</f>
        <v>1.1764705552361838</v>
      </c>
      <c r="D765">
        <f t="shared" si="22"/>
        <v>4.8951249376952092E-5</v>
      </c>
      <c r="E765">
        <f t="shared" si="23"/>
        <v>-1.2949600854459031E-3</v>
      </c>
    </row>
    <row r="766" spans="1:5" x14ac:dyDescent="0.35">
      <c r="A766" s="1">
        <f>Calculs!A766</f>
        <v>45299</v>
      </c>
      <c r="B766">
        <f>Calculs!B766</f>
        <v>2026.5999755859375</v>
      </c>
      <c r="C766">
        <f>Calculs!C766</f>
        <v>1.1754610719447602</v>
      </c>
      <c r="D766">
        <f t="shared" si="22"/>
        <v>-7.7660989134802393E-3</v>
      </c>
      <c r="E766">
        <f t="shared" si="23"/>
        <v>-8.5842916668820584E-4</v>
      </c>
    </row>
    <row r="767" spans="1:5" x14ac:dyDescent="0.35">
      <c r="A767" s="1">
        <f>Calculs!A767</f>
        <v>45300</v>
      </c>
      <c r="B767">
        <f>Calculs!B767</f>
        <v>2026.4000244140625</v>
      </c>
      <c r="C767">
        <f>Calculs!C767</f>
        <v>1.179384398373023</v>
      </c>
      <c r="D767">
        <f t="shared" si="22"/>
        <v>-9.8668231945362532E-5</v>
      </c>
      <c r="E767">
        <f t="shared" si="23"/>
        <v>3.332133770822897E-3</v>
      </c>
    </row>
    <row r="768" spans="1:5" x14ac:dyDescent="0.35">
      <c r="A768" s="1">
        <f>Calculs!A768</f>
        <v>45301</v>
      </c>
      <c r="B768">
        <f>Calculs!B768</f>
        <v>2021.699951171875</v>
      </c>
      <c r="C768">
        <f>Calculs!C768</f>
        <v>1.1731993995131325</v>
      </c>
      <c r="D768">
        <f t="shared" si="22"/>
        <v>-2.3221142671955622E-3</v>
      </c>
      <c r="E768">
        <f t="shared" si="23"/>
        <v>-5.258059768381027E-3</v>
      </c>
    </row>
    <row r="769" spans="1:5" x14ac:dyDescent="0.35">
      <c r="A769" s="1">
        <f>Calculs!A769</f>
        <v>45302</v>
      </c>
      <c r="B769">
        <f>Calculs!B769</f>
        <v>2014.300048828125</v>
      </c>
      <c r="C769">
        <f>Calculs!C769</f>
        <v>1.1757789706960995</v>
      </c>
      <c r="D769">
        <f t="shared" si="22"/>
        <v>-3.6669527431482853E-3</v>
      </c>
      <c r="E769">
        <f t="shared" si="23"/>
        <v>2.1963354389688441E-3</v>
      </c>
    </row>
    <row r="770" spans="1:5" x14ac:dyDescent="0.35">
      <c r="A770" s="1">
        <f>Calculs!A770</f>
        <v>45303</v>
      </c>
      <c r="B770">
        <f>Calculs!B770</f>
        <v>2046.699951171875</v>
      </c>
      <c r="C770">
        <f>Calculs!C770</f>
        <v>1.1750742895556732</v>
      </c>
      <c r="D770">
        <f t="shared" si="22"/>
        <v>1.5956951403282443E-2</v>
      </c>
      <c r="E770">
        <f t="shared" si="23"/>
        <v>-5.9951097199226449E-4</v>
      </c>
    </row>
    <row r="771" spans="1:5" x14ac:dyDescent="0.35">
      <c r="A771" s="1">
        <f>Calculs!A771</f>
        <v>45307</v>
      </c>
      <c r="B771">
        <f>Calculs!B771</f>
        <v>2026</v>
      </c>
      <c r="C771">
        <f>Calculs!C771</f>
        <v>1.1682516232722866</v>
      </c>
      <c r="D771">
        <f t="shared" si="22"/>
        <v>-1.0165310319773104E-2</v>
      </c>
      <c r="E771">
        <f t="shared" si="23"/>
        <v>-5.8230786633192092E-3</v>
      </c>
    </row>
    <row r="772" spans="1:5" x14ac:dyDescent="0.35">
      <c r="A772" s="1">
        <f>Calculs!A772</f>
        <v>45308</v>
      </c>
      <c r="B772">
        <f>Calculs!B772</f>
        <v>2002.5999755859375</v>
      </c>
      <c r="C772">
        <f>Calculs!C772</f>
        <v>1.1610356551071623</v>
      </c>
      <c r="D772">
        <f t="shared" ref="D772:D835" si="24">LN(B772/B771)</f>
        <v>-1.1617081726109013E-2</v>
      </c>
      <c r="E772">
        <f t="shared" ref="E772:E835" si="25">LN(C772/C771)</f>
        <v>-6.195879157133692E-3</v>
      </c>
    </row>
    <row r="773" spans="1:5" x14ac:dyDescent="0.35">
      <c r="A773" s="1">
        <f>Calculs!A773</f>
        <v>45309</v>
      </c>
      <c r="B773">
        <f>Calculs!B773</f>
        <v>2018.5999755859375</v>
      </c>
      <c r="C773">
        <f>Calculs!C773</f>
        <v>1.1569762105389612</v>
      </c>
      <c r="D773">
        <f t="shared" si="24"/>
        <v>7.9578656276874729E-3</v>
      </c>
      <c r="E773">
        <f t="shared" si="25"/>
        <v>-3.5025262625819177E-3</v>
      </c>
    </row>
    <row r="774" spans="1:5" x14ac:dyDescent="0.35">
      <c r="A774" s="1">
        <f>Calculs!A774</f>
        <v>45310</v>
      </c>
      <c r="B774">
        <f>Calculs!B774</f>
        <v>2026.5</v>
      </c>
      <c r="C774">
        <f>Calculs!C774</f>
        <v>1.1519675341181104</v>
      </c>
      <c r="D774">
        <f t="shared" si="24"/>
        <v>3.9059773581561485E-3</v>
      </c>
      <c r="E774">
        <f t="shared" si="25"/>
        <v>-4.3385069807921972E-3</v>
      </c>
    </row>
    <row r="775" spans="1:5" x14ac:dyDescent="0.35">
      <c r="A775" s="1">
        <f>Calculs!A775</f>
        <v>45313</v>
      </c>
      <c r="B775">
        <f>Calculs!B775</f>
        <v>2019.800048828125</v>
      </c>
      <c r="C775">
        <f>Calculs!C775</f>
        <v>1.1514369579395658</v>
      </c>
      <c r="D775">
        <f t="shared" si="24"/>
        <v>-3.3116463011742948E-3</v>
      </c>
      <c r="E775">
        <f t="shared" si="25"/>
        <v>-4.6068868039278059E-4</v>
      </c>
    </row>
    <row r="776" spans="1:5" x14ac:dyDescent="0.35">
      <c r="A776" s="1">
        <f>Calculs!A776</f>
        <v>45314</v>
      </c>
      <c r="B776">
        <f>Calculs!B776</f>
        <v>2023.699951171875</v>
      </c>
      <c r="C776">
        <f>Calculs!C776</f>
        <v>1.1505890992464791</v>
      </c>
      <c r="D776">
        <f t="shared" si="24"/>
        <v>1.9289741822805175E-3</v>
      </c>
      <c r="E776">
        <f t="shared" si="25"/>
        <v>-7.3661957802598601E-4</v>
      </c>
    </row>
    <row r="777" spans="1:5" x14ac:dyDescent="0.35">
      <c r="A777" s="1">
        <f>Calculs!A777</f>
        <v>45315</v>
      </c>
      <c r="B777">
        <f>Calculs!B777</f>
        <v>2013.9000244140625</v>
      </c>
      <c r="C777">
        <f>Calculs!C777</f>
        <v>1.1499540044883065</v>
      </c>
      <c r="D777">
        <f t="shared" si="24"/>
        <v>-4.8543422138760161E-3</v>
      </c>
      <c r="E777">
        <f t="shared" si="25"/>
        <v>-5.5212595084629405E-4</v>
      </c>
    </row>
    <row r="778" spans="1:5" x14ac:dyDescent="0.35">
      <c r="A778" s="1">
        <f>Calculs!A778</f>
        <v>45316</v>
      </c>
      <c r="B778">
        <f>Calculs!B778</f>
        <v>2016.9000244140625</v>
      </c>
      <c r="C778">
        <f>Calculs!C778</f>
        <v>1.1587216944068173</v>
      </c>
      <c r="D778">
        <f t="shared" si="24"/>
        <v>1.4885385122534204E-3</v>
      </c>
      <c r="E778">
        <f t="shared" si="25"/>
        <v>7.5954644250160646E-3</v>
      </c>
    </row>
    <row r="779" spans="1:5" x14ac:dyDescent="0.35">
      <c r="A779" s="1">
        <f>Calculs!A779</f>
        <v>45317</v>
      </c>
      <c r="B779">
        <f>Calculs!B779</f>
        <v>2016.800048828125</v>
      </c>
      <c r="C779">
        <f>Calculs!C779</f>
        <v>1.1535355509139091</v>
      </c>
      <c r="D779">
        <f t="shared" si="24"/>
        <v>-4.9570163444326434E-5</v>
      </c>
      <c r="E779">
        <f t="shared" si="25"/>
        <v>-4.485791708375095E-3</v>
      </c>
    </row>
    <row r="780" spans="1:5" x14ac:dyDescent="0.35">
      <c r="A780" s="1">
        <f>Calculs!A780</f>
        <v>45320</v>
      </c>
      <c r="B780">
        <f>Calculs!B780</f>
        <v>2025.199951171875</v>
      </c>
      <c r="C780">
        <f>Calculs!C780</f>
        <v>1.1572199295854844</v>
      </c>
      <c r="D780">
        <f t="shared" si="24"/>
        <v>4.1563159010782613E-3</v>
      </c>
      <c r="E780">
        <f t="shared" si="25"/>
        <v>3.188898024817362E-3</v>
      </c>
    </row>
    <row r="781" spans="1:5" x14ac:dyDescent="0.35">
      <c r="A781" s="1">
        <f>Calculs!A781</f>
        <v>45321</v>
      </c>
      <c r="B781">
        <f>Calculs!B781</f>
        <v>2031.5</v>
      </c>
      <c r="C781">
        <f>Calculs!C781</f>
        <v>1.1610086590463811</v>
      </c>
      <c r="D781">
        <f t="shared" si="24"/>
        <v>3.105999442300761E-3</v>
      </c>
      <c r="E781">
        <f t="shared" si="25"/>
        <v>3.2686447339312667E-3</v>
      </c>
    </row>
    <row r="782" spans="1:5" x14ac:dyDescent="0.35">
      <c r="A782" s="1">
        <f>Calculs!A782</f>
        <v>45322</v>
      </c>
      <c r="B782">
        <f>Calculs!B782</f>
        <v>2048.39990234375</v>
      </c>
      <c r="C782">
        <f>Calculs!C782</f>
        <v>1.1602812828090603</v>
      </c>
      <c r="D782">
        <f t="shared" si="24"/>
        <v>8.2845164862083032E-3</v>
      </c>
      <c r="E782">
        <f t="shared" si="25"/>
        <v>-6.2670004984038952E-4</v>
      </c>
    </row>
    <row r="783" spans="1:5" x14ac:dyDescent="0.35">
      <c r="A783" s="1">
        <f>Calculs!A783</f>
        <v>45323</v>
      </c>
      <c r="B783">
        <f>Calculs!B783</f>
        <v>2053</v>
      </c>
      <c r="C783">
        <f>Calculs!C783</f>
        <v>1.1596354463305203</v>
      </c>
      <c r="D783">
        <f t="shared" si="24"/>
        <v>2.2431851049437793E-3</v>
      </c>
      <c r="E783">
        <f t="shared" si="25"/>
        <v>-5.5677558346119984E-4</v>
      </c>
    </row>
    <row r="784" spans="1:5" x14ac:dyDescent="0.35">
      <c r="A784" s="1">
        <f>Calculs!A784</f>
        <v>45324</v>
      </c>
      <c r="B784">
        <f>Calculs!B784</f>
        <v>2036.0999755859375</v>
      </c>
      <c r="C784">
        <f>Calculs!C784</f>
        <v>1.1660175824041406</v>
      </c>
      <c r="D784">
        <f t="shared" si="24"/>
        <v>-8.2659366317122222E-3</v>
      </c>
      <c r="E784">
        <f t="shared" si="25"/>
        <v>5.4884817431871411E-3</v>
      </c>
    </row>
    <row r="785" spans="1:5" x14ac:dyDescent="0.35">
      <c r="A785" s="1">
        <f>Calculs!A785</f>
        <v>45327</v>
      </c>
      <c r="B785">
        <f>Calculs!B785</f>
        <v>2025.699951171875</v>
      </c>
      <c r="C785">
        <f>Calculs!C785</f>
        <v>1.1534291232532154</v>
      </c>
      <c r="D785">
        <f t="shared" si="24"/>
        <v>-5.120905671782916E-3</v>
      </c>
      <c r="E785">
        <f t="shared" si="25"/>
        <v>-1.0854815266954901E-2</v>
      </c>
    </row>
    <row r="786" spans="1:5" x14ac:dyDescent="0.35">
      <c r="A786" s="1">
        <f>Calculs!A786</f>
        <v>45328</v>
      </c>
      <c r="B786">
        <f>Calculs!B786</f>
        <v>2034.5</v>
      </c>
      <c r="C786">
        <f>Calculs!C786</f>
        <v>1.1485012036619582</v>
      </c>
      <c r="D786">
        <f t="shared" si="24"/>
        <v>4.334792726306237E-3</v>
      </c>
      <c r="E786">
        <f t="shared" si="25"/>
        <v>-4.2815606204549194E-3</v>
      </c>
    </row>
    <row r="787" spans="1:5" x14ac:dyDescent="0.35">
      <c r="A787" s="1">
        <f>Calculs!A787</f>
        <v>45329</v>
      </c>
      <c r="B787">
        <f>Calculs!B787</f>
        <v>2035.199951171875</v>
      </c>
      <c r="C787">
        <f>Calculs!C787</f>
        <v>1.1500862810669938</v>
      </c>
      <c r="D787">
        <f t="shared" si="24"/>
        <v>3.4398171225140888E-4</v>
      </c>
      <c r="E787">
        <f t="shared" si="25"/>
        <v>1.3791753995160663E-3</v>
      </c>
    </row>
    <row r="788" spans="1:5" x14ac:dyDescent="0.35">
      <c r="A788" s="1">
        <f>Calculs!A788</f>
        <v>45330</v>
      </c>
      <c r="B788">
        <f>Calculs!B788</f>
        <v>2032.199951171875</v>
      </c>
      <c r="C788">
        <f>Calculs!C788</f>
        <v>1.1442825791171152</v>
      </c>
      <c r="D788">
        <f t="shared" si="24"/>
        <v>-1.4751441294395143E-3</v>
      </c>
      <c r="E788">
        <f t="shared" si="25"/>
        <v>-5.0590944020636386E-3</v>
      </c>
    </row>
    <row r="789" spans="1:5" x14ac:dyDescent="0.35">
      <c r="A789" s="1">
        <f>Calculs!A789</f>
        <v>45331</v>
      </c>
      <c r="B789">
        <f>Calculs!B789</f>
        <v>2023.300048828125</v>
      </c>
      <c r="C789">
        <f>Calculs!C789</f>
        <v>1.1448852498819611</v>
      </c>
      <c r="D789">
        <f t="shared" si="24"/>
        <v>-4.3890601064939579E-3</v>
      </c>
      <c r="E789">
        <f t="shared" si="25"/>
        <v>5.2654136681040318E-4</v>
      </c>
    </row>
    <row r="790" spans="1:5" x14ac:dyDescent="0.35">
      <c r="A790" s="1">
        <f>Calculs!A790</f>
        <v>45334</v>
      </c>
      <c r="B790">
        <f>Calculs!B790</f>
        <v>2018.199951171875</v>
      </c>
      <c r="C790">
        <f>Calculs!C790</f>
        <v>1.1439553507912978</v>
      </c>
      <c r="D790">
        <f t="shared" si="24"/>
        <v>-2.5238650815326029E-3</v>
      </c>
      <c r="E790">
        <f t="shared" si="25"/>
        <v>-8.1255037292908994E-4</v>
      </c>
    </row>
    <row r="791" spans="1:5" x14ac:dyDescent="0.35">
      <c r="A791" s="1">
        <f>Calculs!A791</f>
        <v>45335</v>
      </c>
      <c r="B791">
        <f>Calculs!B791</f>
        <v>1992.9000244140625</v>
      </c>
      <c r="C791">
        <f>Calculs!C791</f>
        <v>1.1418131817051447</v>
      </c>
      <c r="D791">
        <f t="shared" si="24"/>
        <v>-1.2615124246704407E-2</v>
      </c>
      <c r="E791">
        <f t="shared" si="25"/>
        <v>-1.8743540151633846E-3</v>
      </c>
    </row>
    <row r="792" spans="1:5" x14ac:dyDescent="0.35">
      <c r="A792" s="1">
        <f>Calculs!A792</f>
        <v>45336</v>
      </c>
      <c r="B792">
        <f>Calculs!B792</f>
        <v>1990.300048828125</v>
      </c>
      <c r="C792">
        <f>Calculs!C792</f>
        <v>1.1268748569763214</v>
      </c>
      <c r="D792">
        <f t="shared" si="24"/>
        <v>-1.3054709316034623E-3</v>
      </c>
      <c r="E792">
        <f t="shared" si="25"/>
        <v>-1.3169321097392465E-2</v>
      </c>
    </row>
    <row r="793" spans="1:5" x14ac:dyDescent="0.35">
      <c r="A793" s="1">
        <f>Calculs!A793</f>
        <v>45337</v>
      </c>
      <c r="B793">
        <f>Calculs!B793</f>
        <v>2002.0999755859375</v>
      </c>
      <c r="C793">
        <f>Calculs!C793</f>
        <v>1.1298158310096882</v>
      </c>
      <c r="D793">
        <f t="shared" si="24"/>
        <v>5.9112118252041043E-3</v>
      </c>
      <c r="E793">
        <f t="shared" si="25"/>
        <v>2.6064499791686449E-3</v>
      </c>
    </row>
    <row r="794" spans="1:5" x14ac:dyDescent="0.35">
      <c r="A794" s="1">
        <f>Calculs!A794</f>
        <v>45338</v>
      </c>
      <c r="B794">
        <f>Calculs!B794</f>
        <v>2011.5</v>
      </c>
      <c r="C794">
        <f>Calculs!C794</f>
        <v>1.1366219315684767</v>
      </c>
      <c r="D794">
        <f t="shared" si="24"/>
        <v>4.6840949064166177E-3</v>
      </c>
      <c r="E794">
        <f t="shared" si="25"/>
        <v>6.0060074274823757E-3</v>
      </c>
    </row>
    <row r="795" spans="1:5" x14ac:dyDescent="0.35">
      <c r="A795" s="1">
        <f>Calculs!A795</f>
        <v>45342</v>
      </c>
      <c r="B795">
        <f>Calculs!B795</f>
        <v>2027.5</v>
      </c>
      <c r="C795">
        <f>Calculs!C795</f>
        <v>1.1328274196749137</v>
      </c>
      <c r="D795">
        <f t="shared" si="24"/>
        <v>7.9227945997250287E-3</v>
      </c>
      <c r="E795">
        <f t="shared" si="25"/>
        <v>-3.3439965755878345E-3</v>
      </c>
    </row>
    <row r="796" spans="1:5" x14ac:dyDescent="0.35">
      <c r="A796" s="1">
        <f>Calculs!A796</f>
        <v>45343</v>
      </c>
      <c r="B796">
        <f>Calculs!B796</f>
        <v>2022.300048828125</v>
      </c>
      <c r="C796">
        <f>Calculs!C796</f>
        <v>1.1340311283041995</v>
      </c>
      <c r="D796">
        <f t="shared" si="24"/>
        <v>-2.5680053172179879E-3</v>
      </c>
      <c r="E796">
        <f t="shared" si="25"/>
        <v>1.0620060466438334E-3</v>
      </c>
    </row>
    <row r="797" spans="1:5" x14ac:dyDescent="0.35">
      <c r="A797" s="1">
        <f>Calculs!A797</f>
        <v>45344</v>
      </c>
      <c r="B797">
        <f>Calculs!B797</f>
        <v>2019.699951171875</v>
      </c>
      <c r="C797">
        <f>Calculs!C797</f>
        <v>1.1373329671751777</v>
      </c>
      <c r="D797">
        <f t="shared" si="24"/>
        <v>-1.2865403339371805E-3</v>
      </c>
      <c r="E797">
        <f t="shared" si="25"/>
        <v>2.9073640843009819E-3</v>
      </c>
    </row>
    <row r="798" spans="1:5" x14ac:dyDescent="0.35">
      <c r="A798" s="1">
        <f>Calculs!A798</f>
        <v>45345</v>
      </c>
      <c r="B798">
        <f>Calculs!B798</f>
        <v>2038.5999755859375</v>
      </c>
      <c r="C798">
        <f>Calculs!C798</f>
        <v>1.136428223021557</v>
      </c>
      <c r="D798">
        <f t="shared" si="24"/>
        <v>9.3143244200030086E-3</v>
      </c>
      <c r="E798">
        <f t="shared" si="25"/>
        <v>-7.9581286308412805E-4</v>
      </c>
    </row>
    <row r="799" spans="1:5" x14ac:dyDescent="0.35">
      <c r="A799" s="1">
        <f>Calculs!A799</f>
        <v>45348</v>
      </c>
      <c r="B799">
        <f>Calculs!B799</f>
        <v>2028.5</v>
      </c>
      <c r="C799">
        <f>Calculs!C799</f>
        <v>1.1347517423494016</v>
      </c>
      <c r="D799">
        <f t="shared" si="24"/>
        <v>-4.9666821119139582E-3</v>
      </c>
      <c r="E799">
        <f t="shared" si="25"/>
        <v>-1.476308352667662E-3</v>
      </c>
    </row>
    <row r="800" spans="1:5" x14ac:dyDescent="0.35">
      <c r="A800" s="1">
        <f>Calculs!A800</f>
        <v>45349</v>
      </c>
      <c r="B800">
        <f>Calculs!B800</f>
        <v>2034</v>
      </c>
      <c r="C800">
        <f>Calculs!C800</f>
        <v>1.1364928108627181</v>
      </c>
      <c r="D800">
        <f t="shared" si="24"/>
        <v>2.7076939620032797E-3</v>
      </c>
      <c r="E800">
        <f t="shared" si="25"/>
        <v>1.5331408076590641E-3</v>
      </c>
    </row>
    <row r="801" spans="1:5" x14ac:dyDescent="0.35">
      <c r="A801" s="1">
        <f>Calculs!A801</f>
        <v>45350</v>
      </c>
      <c r="B801">
        <f>Calculs!B801</f>
        <v>2033</v>
      </c>
      <c r="C801">
        <f>Calculs!C801</f>
        <v>1.1379153715757595</v>
      </c>
      <c r="D801">
        <f t="shared" si="24"/>
        <v>-4.9176298015861592E-4</v>
      </c>
      <c r="E801">
        <f t="shared" si="25"/>
        <v>1.2509284037315932E-3</v>
      </c>
    </row>
    <row r="802" spans="1:5" x14ac:dyDescent="0.35">
      <c r="A802" s="1">
        <f>Calculs!A802</f>
        <v>45351</v>
      </c>
      <c r="B802">
        <f>Calculs!B802</f>
        <v>2045.699951171875</v>
      </c>
      <c r="C802">
        <f>Calculs!C802</f>
        <v>1.1380319240401113</v>
      </c>
      <c r="D802">
        <f t="shared" si="24"/>
        <v>6.2274706977065233E-3</v>
      </c>
      <c r="E802">
        <f t="shared" si="25"/>
        <v>1.0242105753356275E-4</v>
      </c>
    </row>
    <row r="803" spans="1:5" x14ac:dyDescent="0.35">
      <c r="A803" s="1">
        <f>Calculs!A803</f>
        <v>45352</v>
      </c>
      <c r="B803">
        <f>Calculs!B803</f>
        <v>2086.89990234375</v>
      </c>
      <c r="C803">
        <f>Calculs!C803</f>
        <v>1.1307100730096233</v>
      </c>
      <c r="D803">
        <f t="shared" si="24"/>
        <v>1.9939659139843434E-2</v>
      </c>
      <c r="E803">
        <f t="shared" si="25"/>
        <v>-6.4545695014358246E-3</v>
      </c>
    </row>
    <row r="804" spans="1:5" x14ac:dyDescent="0.35">
      <c r="A804" s="1">
        <f>Calculs!A804</f>
        <v>45355</v>
      </c>
      <c r="B804">
        <f>Calculs!B804</f>
        <v>2117.699951171875</v>
      </c>
      <c r="C804">
        <f>Calculs!C804</f>
        <v>1.1320669263790129</v>
      </c>
      <c r="D804">
        <f t="shared" si="24"/>
        <v>1.4650906546489963E-2</v>
      </c>
      <c r="E804">
        <f t="shared" si="25"/>
        <v>1.1992817077278132E-3</v>
      </c>
    </row>
    <row r="805" spans="1:5" x14ac:dyDescent="0.35">
      <c r="A805" s="1">
        <f>Calculs!A805</f>
        <v>45356</v>
      </c>
      <c r="B805">
        <f>Calculs!B805</f>
        <v>2133.5</v>
      </c>
      <c r="C805">
        <f>Calculs!C805</f>
        <v>1.1296881758716741</v>
      </c>
      <c r="D805">
        <f t="shared" si="24"/>
        <v>7.4332526156680222E-3</v>
      </c>
      <c r="E805">
        <f t="shared" si="25"/>
        <v>-2.1034561894363868E-3</v>
      </c>
    </row>
    <row r="806" spans="1:5" x14ac:dyDescent="0.35">
      <c r="A806" s="1">
        <f>Calculs!A806</f>
        <v>45357</v>
      </c>
      <c r="B806">
        <f>Calculs!B806</f>
        <v>2150.300048828125</v>
      </c>
      <c r="C806">
        <f>Calculs!C806</f>
        <v>1.1317593960555754</v>
      </c>
      <c r="D806">
        <f t="shared" si="24"/>
        <v>7.8435663508754604E-3</v>
      </c>
      <c r="E806">
        <f t="shared" si="25"/>
        <v>1.8317654486039987E-3</v>
      </c>
    </row>
    <row r="807" spans="1:5" x14ac:dyDescent="0.35">
      <c r="A807" s="1">
        <f>Calculs!A807</f>
        <v>45358</v>
      </c>
      <c r="B807">
        <f>Calculs!B807</f>
        <v>2158</v>
      </c>
      <c r="C807">
        <f>Calculs!C807</f>
        <v>1.13365833327815</v>
      </c>
      <c r="D807">
        <f t="shared" si="24"/>
        <v>3.5744768391498196E-3</v>
      </c>
      <c r="E807">
        <f t="shared" si="25"/>
        <v>1.6764569666198928E-3</v>
      </c>
    </row>
    <row r="808" spans="1:5" x14ac:dyDescent="0.35">
      <c r="A808" s="1">
        <f>Calculs!A808</f>
        <v>45359</v>
      </c>
      <c r="B808">
        <f>Calculs!B808</f>
        <v>2178.60009765625</v>
      </c>
      <c r="C808">
        <f>Calculs!C808</f>
        <v>1.1401208647111143</v>
      </c>
      <c r="D808">
        <f t="shared" si="24"/>
        <v>9.5006466554960235E-3</v>
      </c>
      <c r="E808">
        <f t="shared" si="25"/>
        <v>5.6844119608475989E-3</v>
      </c>
    </row>
    <row r="809" spans="1:5" x14ac:dyDescent="0.35">
      <c r="A809" s="1">
        <f>Calculs!A809</f>
        <v>45362</v>
      </c>
      <c r="B809">
        <f>Calculs!B809</f>
        <v>2182.5</v>
      </c>
      <c r="C809">
        <f>Calculs!C809</f>
        <v>1.1395881383015758</v>
      </c>
      <c r="D809">
        <f t="shared" si="24"/>
        <v>1.788495240181465E-3</v>
      </c>
      <c r="E809">
        <f t="shared" si="25"/>
        <v>-4.6736352624946885E-4</v>
      </c>
    </row>
    <row r="810" spans="1:5" x14ac:dyDescent="0.35">
      <c r="A810" s="1">
        <f>Calculs!A810</f>
        <v>45363</v>
      </c>
      <c r="B810">
        <f>Calculs!B810</f>
        <v>2160.39990234375</v>
      </c>
      <c r="C810">
        <f>Calculs!C810</f>
        <v>1.1399258843688258</v>
      </c>
      <c r="D810">
        <f t="shared" si="24"/>
        <v>-1.0177664197878154E-2</v>
      </c>
      <c r="E810">
        <f t="shared" si="25"/>
        <v>2.9633164469500088E-4</v>
      </c>
    </row>
    <row r="811" spans="1:5" x14ac:dyDescent="0.35">
      <c r="A811" s="1">
        <f>Calculs!A811</f>
        <v>45364</v>
      </c>
      <c r="B811">
        <f>Calculs!B811</f>
        <v>2175.39990234375</v>
      </c>
      <c r="C811">
        <f>Calculs!C811</f>
        <v>1.1397439783611076</v>
      </c>
      <c r="D811">
        <f t="shared" si="24"/>
        <v>6.9191662527002852E-3</v>
      </c>
      <c r="E811">
        <f t="shared" si="25"/>
        <v>-1.5958978190502791E-4</v>
      </c>
    </row>
    <row r="812" spans="1:5" x14ac:dyDescent="0.35">
      <c r="A812" s="1">
        <f>Calculs!A812</f>
        <v>45365</v>
      </c>
      <c r="B812">
        <f>Calculs!B812</f>
        <v>2163</v>
      </c>
      <c r="C812">
        <f>Calculs!C812</f>
        <v>1.1384594359239213</v>
      </c>
      <c r="D812">
        <f t="shared" si="24"/>
        <v>-5.7163638155206895E-3</v>
      </c>
      <c r="E812">
        <f t="shared" si="25"/>
        <v>-1.1276803162152361E-3</v>
      </c>
    </row>
    <row r="813" spans="1:5" x14ac:dyDescent="0.35">
      <c r="A813" s="1">
        <f>Calculs!A813</f>
        <v>45366</v>
      </c>
      <c r="B813">
        <f>Calculs!B813</f>
        <v>2157.300048828125</v>
      </c>
      <c r="C813">
        <f>Calculs!C813</f>
        <v>1.1308763002264353</v>
      </c>
      <c r="D813">
        <f t="shared" si="24"/>
        <v>-2.6386845425951824E-3</v>
      </c>
      <c r="E813">
        <f t="shared" si="25"/>
        <v>-6.6831573675690502E-3</v>
      </c>
    </row>
    <row r="814" spans="1:5" x14ac:dyDescent="0.35">
      <c r="A814" s="1">
        <f>Calculs!A814</f>
        <v>45369</v>
      </c>
      <c r="B814">
        <f>Calculs!B814</f>
        <v>2160.699951171875</v>
      </c>
      <c r="C814">
        <f>Calculs!C814</f>
        <v>1.131746646357505</v>
      </c>
      <c r="D814">
        <f t="shared" si="24"/>
        <v>1.5747582428707817E-3</v>
      </c>
      <c r="E814">
        <f t="shared" si="25"/>
        <v>7.6932497773065549E-4</v>
      </c>
    </row>
    <row r="815" spans="1:5" x14ac:dyDescent="0.35">
      <c r="A815" s="1">
        <f>Calculs!A815</f>
        <v>45370</v>
      </c>
      <c r="B815">
        <f>Calculs!B815</f>
        <v>2156.300048828125</v>
      </c>
      <c r="C815">
        <f>Calculs!C815</f>
        <v>1.1267478655229599</v>
      </c>
      <c r="D815">
        <f t="shared" si="24"/>
        <v>-2.0384080923120792E-3</v>
      </c>
      <c r="E815">
        <f t="shared" si="25"/>
        <v>-4.4266558727126468E-3</v>
      </c>
    </row>
    <row r="816" spans="1:5" x14ac:dyDescent="0.35">
      <c r="A816" s="1">
        <f>Calculs!A816</f>
        <v>45371</v>
      </c>
      <c r="B816">
        <f>Calculs!B816</f>
        <v>2157.89990234375</v>
      </c>
      <c r="C816">
        <f>Calculs!C816</f>
        <v>1.125441698483447</v>
      </c>
      <c r="D816">
        <f t="shared" si="24"/>
        <v>7.4166872517189531E-4</v>
      </c>
      <c r="E816">
        <f t="shared" si="25"/>
        <v>-1.1599087455420284E-3</v>
      </c>
    </row>
    <row r="817" spans="1:5" x14ac:dyDescent="0.35">
      <c r="A817" s="1">
        <f>Calculs!A817</f>
        <v>45372</v>
      </c>
      <c r="B817">
        <f>Calculs!B817</f>
        <v>2182.39990234375</v>
      </c>
      <c r="C817">
        <f>Calculs!C817</f>
        <v>1.1292416859751024</v>
      </c>
      <c r="D817">
        <f t="shared" si="24"/>
        <v>1.128966261576579E-2</v>
      </c>
      <c r="E817">
        <f t="shared" si="25"/>
        <v>3.3707536195959316E-3</v>
      </c>
    </row>
    <row r="818" spans="1:5" x14ac:dyDescent="0.35">
      <c r="A818" s="1">
        <f>Calculs!A818</f>
        <v>45373</v>
      </c>
      <c r="B818">
        <f>Calculs!B818</f>
        <v>2158.10009765625</v>
      </c>
      <c r="C818">
        <f>Calculs!C818</f>
        <v>1.1139827301368588</v>
      </c>
      <c r="D818">
        <f t="shared" si="24"/>
        <v>-1.1196893703511956E-2</v>
      </c>
      <c r="E818">
        <f t="shared" si="25"/>
        <v>-1.3604694279966009E-2</v>
      </c>
    </row>
    <row r="819" spans="1:5" x14ac:dyDescent="0.35">
      <c r="A819" s="1">
        <f>Calculs!A819</f>
        <v>45376</v>
      </c>
      <c r="B819">
        <f>Calculs!B819</f>
        <v>2174.800048828125</v>
      </c>
      <c r="C819">
        <f>Calculs!C819</f>
        <v>1.1140571457409294</v>
      </c>
      <c r="D819">
        <f t="shared" si="24"/>
        <v>7.7084785250944804E-3</v>
      </c>
      <c r="E819">
        <f t="shared" si="25"/>
        <v>6.6799167199783717E-5</v>
      </c>
    </row>
    <row r="820" spans="1:5" x14ac:dyDescent="0.35">
      <c r="A820" s="1">
        <f>Calculs!A820</f>
        <v>45377</v>
      </c>
      <c r="B820">
        <f>Calculs!B820</f>
        <v>2175.60009765625</v>
      </c>
      <c r="C820">
        <f>Calculs!C820</f>
        <v>1.1117658526810263</v>
      </c>
      <c r="D820">
        <f t="shared" si="24"/>
        <v>3.6780471230489362E-4</v>
      </c>
      <c r="E820">
        <f t="shared" si="25"/>
        <v>-2.0588284610983435E-3</v>
      </c>
    </row>
    <row r="821" spans="1:5" x14ac:dyDescent="0.35">
      <c r="A821" s="1">
        <f>Calculs!A821</f>
        <v>45378</v>
      </c>
      <c r="B821">
        <f>Calculs!B821</f>
        <v>2190.60009765625</v>
      </c>
      <c r="C821">
        <f>Calculs!C821</f>
        <v>1.1066231568913134</v>
      </c>
      <c r="D821">
        <f t="shared" si="24"/>
        <v>6.8709900334791461E-3</v>
      </c>
      <c r="E821">
        <f t="shared" si="25"/>
        <v>-4.6364320955582777E-3</v>
      </c>
    </row>
    <row r="822" spans="1:5" x14ac:dyDescent="0.35">
      <c r="A822" s="1">
        <f>Calculs!A822</f>
        <v>45379</v>
      </c>
      <c r="B822">
        <f>Calculs!B822</f>
        <v>2217.39990234375</v>
      </c>
      <c r="C822">
        <f>Calculs!C822</f>
        <v>1.1043622372088464</v>
      </c>
      <c r="D822">
        <f t="shared" si="24"/>
        <v>1.2159770828042574E-2</v>
      </c>
      <c r="E822">
        <f t="shared" si="25"/>
        <v>-2.0451699740452302E-3</v>
      </c>
    </row>
    <row r="823" spans="1:5" x14ac:dyDescent="0.35">
      <c r="A823" s="1">
        <f>Calculs!A823</f>
        <v>45383</v>
      </c>
      <c r="B823">
        <f>Calculs!B823</f>
        <v>2236.5</v>
      </c>
      <c r="C823">
        <f>Calculs!C823</f>
        <v>1.1086474378031816</v>
      </c>
      <c r="D823">
        <f t="shared" si="24"/>
        <v>8.5768495755336929E-3</v>
      </c>
      <c r="E823">
        <f t="shared" si="25"/>
        <v>3.8727403667037411E-3</v>
      </c>
    </row>
    <row r="824" spans="1:5" x14ac:dyDescent="0.35">
      <c r="A824" s="1">
        <f>Calculs!A824</f>
        <v>45384</v>
      </c>
      <c r="B824">
        <f>Calculs!B824</f>
        <v>2261</v>
      </c>
      <c r="C824">
        <f>Calculs!C824</f>
        <v>1.104886906465155</v>
      </c>
      <c r="D824">
        <f t="shared" si="24"/>
        <v>1.0895049405066982E-2</v>
      </c>
      <c r="E824">
        <f t="shared" si="25"/>
        <v>-3.397765176445397E-3</v>
      </c>
    </row>
    <row r="825" spans="1:5" x14ac:dyDescent="0.35">
      <c r="A825" s="1">
        <f>Calculs!A825</f>
        <v>45385</v>
      </c>
      <c r="B825">
        <f>Calculs!B825</f>
        <v>2294.39990234375</v>
      </c>
      <c r="C825">
        <f>Calculs!C825</f>
        <v>1.1015399694248955</v>
      </c>
      <c r="D825">
        <f t="shared" si="24"/>
        <v>1.4664135564459967E-2</v>
      </c>
      <c r="E825">
        <f t="shared" si="25"/>
        <v>-3.0338096801961283E-3</v>
      </c>
    </row>
    <row r="826" spans="1:5" x14ac:dyDescent="0.35">
      <c r="A826" s="1">
        <f>Calculs!A826</f>
        <v>45386</v>
      </c>
      <c r="B826">
        <f>Calculs!B826</f>
        <v>2288.800048828125</v>
      </c>
      <c r="C826">
        <f>Calculs!C826</f>
        <v>1.1075545975400947</v>
      </c>
      <c r="D826">
        <f t="shared" si="24"/>
        <v>-2.4436447730251439E-3</v>
      </c>
      <c r="E826">
        <f t="shared" si="25"/>
        <v>5.4453467653055492E-3</v>
      </c>
    </row>
    <row r="827" spans="1:5" x14ac:dyDescent="0.35">
      <c r="A827" s="1">
        <f>Calculs!A827</f>
        <v>45387</v>
      </c>
      <c r="B827">
        <f>Calculs!B827</f>
        <v>2325.699951171875</v>
      </c>
      <c r="C827">
        <f>Calculs!C827</f>
        <v>1.1092500357690018</v>
      </c>
      <c r="D827">
        <f t="shared" si="24"/>
        <v>1.5993363911782323E-2</v>
      </c>
      <c r="E827">
        <f t="shared" si="25"/>
        <v>1.5296237963480265E-3</v>
      </c>
    </row>
    <row r="828" spans="1:5" x14ac:dyDescent="0.35">
      <c r="A828" s="1">
        <f>Calculs!A828</f>
        <v>45390</v>
      </c>
      <c r="B828">
        <f>Calculs!B828</f>
        <v>2331.699951171875</v>
      </c>
      <c r="C828">
        <f>Calculs!C828</f>
        <v>1.1072112797487019</v>
      </c>
      <c r="D828">
        <f t="shared" si="24"/>
        <v>2.5765463327621051E-3</v>
      </c>
      <c r="E828">
        <f t="shared" si="25"/>
        <v>-1.8396500593162613E-3</v>
      </c>
    </row>
    <row r="829" spans="1:5" x14ac:dyDescent="0.35">
      <c r="A829" s="1">
        <f>Calculs!A829</f>
        <v>45391</v>
      </c>
      <c r="B829">
        <f>Calculs!B829</f>
        <v>2343.5</v>
      </c>
      <c r="C829">
        <f>Calculs!C829</f>
        <v>1.1049601845365786</v>
      </c>
      <c r="D829">
        <f t="shared" si="24"/>
        <v>5.0479440488116548E-3</v>
      </c>
      <c r="E829">
        <f t="shared" si="25"/>
        <v>-2.0351912367283435E-3</v>
      </c>
    </row>
    <row r="830" spans="1:5" x14ac:dyDescent="0.35">
      <c r="A830" s="1">
        <f>Calculs!A830</f>
        <v>45392</v>
      </c>
      <c r="B830">
        <f>Calculs!B830</f>
        <v>2329.60009765625</v>
      </c>
      <c r="C830">
        <f>Calculs!C830</f>
        <v>1.107444203900976</v>
      </c>
      <c r="D830">
        <f t="shared" si="24"/>
        <v>-5.9489174406446368E-3</v>
      </c>
      <c r="E830">
        <f t="shared" si="25"/>
        <v>2.2455392162244168E-3</v>
      </c>
    </row>
    <row r="831" spans="1:5" x14ac:dyDescent="0.35">
      <c r="A831" s="1">
        <f>Calculs!A831</f>
        <v>45393</v>
      </c>
      <c r="B831">
        <f>Calculs!B831</f>
        <v>2354.800048828125</v>
      </c>
      <c r="C831">
        <f>Calculs!C831</f>
        <v>1.0952422887990805</v>
      </c>
      <c r="D831">
        <f t="shared" si="24"/>
        <v>1.0759197967561912E-2</v>
      </c>
      <c r="E831">
        <f t="shared" si="25"/>
        <v>-1.1079234341270351E-2</v>
      </c>
    </row>
    <row r="832" spans="1:5" x14ac:dyDescent="0.35">
      <c r="A832" s="1">
        <f>Calculs!A832</f>
        <v>45394</v>
      </c>
      <c r="B832">
        <f>Calculs!B832</f>
        <v>2356.199951171875</v>
      </c>
      <c r="C832">
        <f>Calculs!C832</f>
        <v>1.0991064576733833</v>
      </c>
      <c r="D832">
        <f t="shared" si="24"/>
        <v>5.9431219908922866E-4</v>
      </c>
      <c r="E832">
        <f t="shared" si="25"/>
        <v>3.5219313928806467E-3</v>
      </c>
    </row>
    <row r="833" spans="1:5" x14ac:dyDescent="0.35">
      <c r="A833" s="1">
        <f>Calculs!A833</f>
        <v>45397</v>
      </c>
      <c r="B833">
        <f>Calculs!B833</f>
        <v>2365.800048828125</v>
      </c>
      <c r="C833">
        <f>Calculs!C833</f>
        <v>1.0943672675879097</v>
      </c>
      <c r="D833">
        <f t="shared" si="24"/>
        <v>4.06612066202905E-3</v>
      </c>
      <c r="E833">
        <f t="shared" si="25"/>
        <v>-4.3211800581949775E-3</v>
      </c>
    </row>
    <row r="834" spans="1:5" x14ac:dyDescent="0.35">
      <c r="A834" s="1">
        <f>Calculs!A834</f>
        <v>45398</v>
      </c>
      <c r="B834">
        <f>Calculs!B834</f>
        <v>2390.800048828125</v>
      </c>
      <c r="C834">
        <f>Calculs!C834</f>
        <v>1.0969723638707973</v>
      </c>
      <c r="D834">
        <f t="shared" si="24"/>
        <v>1.0511806622644015E-2</v>
      </c>
      <c r="E834">
        <f t="shared" si="25"/>
        <v>2.3776300786362446E-3</v>
      </c>
    </row>
    <row r="835" spans="1:5" x14ac:dyDescent="0.35">
      <c r="A835" s="1">
        <f>Calculs!A835</f>
        <v>45399</v>
      </c>
      <c r="B835">
        <f>Calculs!B835</f>
        <v>2371.699951171875</v>
      </c>
      <c r="C835">
        <f>Calculs!C835</f>
        <v>1.0958183738230733</v>
      </c>
      <c r="D835">
        <f t="shared" si="24"/>
        <v>-8.0210813904086596E-3</v>
      </c>
      <c r="E835">
        <f t="shared" si="25"/>
        <v>-1.0525310367483331E-3</v>
      </c>
    </row>
    <row r="836" spans="1:5" x14ac:dyDescent="0.35">
      <c r="A836" s="1">
        <f>Calculs!A836</f>
        <v>45400</v>
      </c>
      <c r="B836">
        <f>Calculs!B836</f>
        <v>2382.300048828125</v>
      </c>
      <c r="C836">
        <f>Calculs!C836</f>
        <v>1.0984183097827107</v>
      </c>
      <c r="D836">
        <f t="shared" ref="D836:D899" si="26">LN(B836/B835)</f>
        <v>4.4594510824546314E-3</v>
      </c>
      <c r="E836">
        <f t="shared" ref="E836:E899" si="27">LN(C836/C835)</f>
        <v>2.3697873577715597E-3</v>
      </c>
    </row>
    <row r="837" spans="1:5" x14ac:dyDescent="0.35">
      <c r="A837" s="1">
        <f>Calculs!A837</f>
        <v>45401</v>
      </c>
      <c r="B837">
        <f>Calculs!B837</f>
        <v>2398.39990234375</v>
      </c>
      <c r="C837">
        <f>Calculs!C837</f>
        <v>1.0963709914308768</v>
      </c>
      <c r="D837">
        <f t="shared" si="26"/>
        <v>6.7353795655969769E-3</v>
      </c>
      <c r="E837">
        <f t="shared" si="27"/>
        <v>-1.8656177561230654E-3</v>
      </c>
    </row>
    <row r="838" spans="1:5" x14ac:dyDescent="0.35">
      <c r="A838" s="1">
        <f>Calculs!A838</f>
        <v>45404</v>
      </c>
      <c r="B838">
        <f>Calculs!B838</f>
        <v>2332.199951171875</v>
      </c>
      <c r="C838">
        <f>Calculs!C838</f>
        <v>1.0977152937310775</v>
      </c>
      <c r="D838">
        <f t="shared" si="26"/>
        <v>-2.7989800481359611E-2</v>
      </c>
      <c r="E838">
        <f t="shared" si="27"/>
        <v>1.2253870574788885E-3</v>
      </c>
    </row>
    <row r="839" spans="1:5" x14ac:dyDescent="0.35">
      <c r="A839" s="1">
        <f>Calculs!A839</f>
        <v>45405</v>
      </c>
      <c r="B839">
        <f>Calculs!B839</f>
        <v>2327.699951171875</v>
      </c>
      <c r="C839">
        <f>Calculs!C839</f>
        <v>1.096623531968645</v>
      </c>
      <c r="D839">
        <f t="shared" si="26"/>
        <v>-1.9313725586944581E-3</v>
      </c>
      <c r="E839">
        <f t="shared" si="27"/>
        <v>-9.95071353367514E-4</v>
      </c>
    </row>
    <row r="840" spans="1:5" x14ac:dyDescent="0.35">
      <c r="A840" s="1">
        <f>Calculs!A840</f>
        <v>45406</v>
      </c>
      <c r="B840">
        <f>Calculs!B840</f>
        <v>2324.5</v>
      </c>
      <c r="C840">
        <f>Calculs!C840</f>
        <v>1.0972130545548602</v>
      </c>
      <c r="D840">
        <f t="shared" si="26"/>
        <v>-1.3756724603899396E-3</v>
      </c>
      <c r="E840">
        <f t="shared" si="27"/>
        <v>5.3743528941596998E-4</v>
      </c>
    </row>
    <row r="841" spans="1:5" x14ac:dyDescent="0.35">
      <c r="A841" s="1">
        <f>Calculs!A841</f>
        <v>45407</v>
      </c>
      <c r="B841">
        <f>Calculs!B841</f>
        <v>2329.800048828125</v>
      </c>
      <c r="C841">
        <f>Calculs!C841</f>
        <v>1.0935654892721871</v>
      </c>
      <c r="D841">
        <f t="shared" si="26"/>
        <v>2.2774857931127522E-3</v>
      </c>
      <c r="E841">
        <f t="shared" si="27"/>
        <v>-3.3299291372289341E-3</v>
      </c>
    </row>
    <row r="842" spans="1:5" x14ac:dyDescent="0.35">
      <c r="A842" s="1">
        <f>Calculs!A842</f>
        <v>45408</v>
      </c>
      <c r="B842">
        <f>Calculs!B842</f>
        <v>2334.800048828125</v>
      </c>
      <c r="C842">
        <f>Calculs!C842</f>
        <v>1.0958664023000031</v>
      </c>
      <c r="D842">
        <f t="shared" si="26"/>
        <v>2.1438073190774686E-3</v>
      </c>
      <c r="E842">
        <f t="shared" si="27"/>
        <v>2.1018364478366208E-3</v>
      </c>
    </row>
    <row r="843" spans="1:5" x14ac:dyDescent="0.35">
      <c r="A843" s="1">
        <f>Calculs!A843</f>
        <v>45411</v>
      </c>
      <c r="B843">
        <f>Calculs!B843</f>
        <v>2345.39990234375</v>
      </c>
      <c r="C843">
        <f>Calculs!C843</f>
        <v>1.0944655020134526</v>
      </c>
      <c r="D843">
        <f t="shared" si="26"/>
        <v>4.5296661467797766E-3</v>
      </c>
      <c r="E843">
        <f t="shared" si="27"/>
        <v>-1.2791673031950098E-3</v>
      </c>
    </row>
    <row r="844" spans="1:5" x14ac:dyDescent="0.35">
      <c r="A844" s="1">
        <f>Calculs!A844</f>
        <v>45412</v>
      </c>
      <c r="B844">
        <f>Calculs!B844</f>
        <v>2291.39990234375</v>
      </c>
      <c r="C844">
        <f>Calculs!C844</f>
        <v>1.0980323372479424</v>
      </c>
      <c r="D844">
        <f t="shared" si="26"/>
        <v>-2.3292979548680329E-2</v>
      </c>
      <c r="E844">
        <f t="shared" si="27"/>
        <v>3.2536756180835112E-3</v>
      </c>
    </row>
    <row r="845" spans="1:5" x14ac:dyDescent="0.35">
      <c r="A845" s="1">
        <f>Calculs!A845</f>
        <v>45413</v>
      </c>
      <c r="B845">
        <f>Calculs!B845</f>
        <v>2299.89990234375</v>
      </c>
      <c r="C845">
        <f>Calculs!C845</f>
        <v>1.0875594318912114</v>
      </c>
      <c r="D845">
        <f t="shared" si="26"/>
        <v>3.7026594091494527E-3</v>
      </c>
      <c r="E845">
        <f t="shared" si="27"/>
        <v>-9.583661196798713E-3</v>
      </c>
    </row>
    <row r="846" spans="1:5" x14ac:dyDescent="0.35">
      <c r="A846" s="1">
        <f>Calculs!A846</f>
        <v>45414</v>
      </c>
      <c r="B846">
        <f>Calculs!B846</f>
        <v>2299.199951171875</v>
      </c>
      <c r="C846">
        <f>Calculs!C846</f>
        <v>1.0912741471461178</v>
      </c>
      <c r="D846">
        <f t="shared" si="26"/>
        <v>-3.0438616232441028E-4</v>
      </c>
      <c r="E846">
        <f t="shared" si="27"/>
        <v>3.4098233934546245E-3</v>
      </c>
    </row>
    <row r="847" spans="1:5" x14ac:dyDescent="0.35">
      <c r="A847" s="1">
        <f>Calculs!A847</f>
        <v>45415</v>
      </c>
      <c r="B847">
        <f>Calculs!B847</f>
        <v>2299</v>
      </c>
      <c r="C847">
        <f>Calculs!C847</f>
        <v>1.0991788989719726</v>
      </c>
      <c r="D847">
        <f t="shared" si="26"/>
        <v>-8.6969324572335372E-5</v>
      </c>
      <c r="E847">
        <f t="shared" si="27"/>
        <v>7.2174896918837462E-3</v>
      </c>
    </row>
    <row r="848" spans="1:5" x14ac:dyDescent="0.35">
      <c r="A848" s="1">
        <f>Calculs!A848</f>
        <v>45418</v>
      </c>
      <c r="B848">
        <f>Calculs!B848</f>
        <v>2321.60009765625</v>
      </c>
      <c r="C848">
        <f>Calculs!C848</f>
        <v>1.1038258650104864</v>
      </c>
      <c r="D848">
        <f t="shared" si="26"/>
        <v>9.7823994309423207E-3</v>
      </c>
      <c r="E848">
        <f t="shared" si="27"/>
        <v>4.2187588576140037E-3</v>
      </c>
    </row>
    <row r="849" spans="1:5" x14ac:dyDescent="0.35">
      <c r="A849" s="1">
        <f>Calculs!A849</f>
        <v>45419</v>
      </c>
      <c r="B849">
        <f>Calculs!B849</f>
        <v>2315.199951171875</v>
      </c>
      <c r="C849">
        <f>Calculs!C849</f>
        <v>1.1029006103247312</v>
      </c>
      <c r="D849">
        <f t="shared" si="26"/>
        <v>-2.760589407145369E-3</v>
      </c>
      <c r="E849">
        <f t="shared" si="27"/>
        <v>-8.3857673374349343E-4</v>
      </c>
    </row>
    <row r="850" spans="1:5" x14ac:dyDescent="0.35">
      <c r="A850" s="1">
        <f>Calculs!A850</f>
        <v>45420</v>
      </c>
      <c r="B850">
        <f>Calculs!B850</f>
        <v>2313.60009765625</v>
      </c>
      <c r="C850">
        <f>Calculs!C850</f>
        <v>1.1007397109193062</v>
      </c>
      <c r="D850">
        <f t="shared" si="26"/>
        <v>-6.912606128823438E-4</v>
      </c>
      <c r="E850">
        <f t="shared" si="27"/>
        <v>-1.9612094380583836E-3</v>
      </c>
    </row>
    <row r="851" spans="1:5" x14ac:dyDescent="0.35">
      <c r="A851" s="1">
        <f>Calculs!A851</f>
        <v>45421</v>
      </c>
      <c r="B851">
        <f>Calculs!B851</f>
        <v>2332.10009765625</v>
      </c>
      <c r="C851">
        <f>Calculs!C851</f>
        <v>1.1013337408550499</v>
      </c>
      <c r="D851">
        <f t="shared" si="26"/>
        <v>7.9643958983619933E-3</v>
      </c>
      <c r="E851">
        <f t="shared" si="27"/>
        <v>5.395187428233315E-4</v>
      </c>
    </row>
    <row r="852" spans="1:5" x14ac:dyDescent="0.35">
      <c r="A852" s="1">
        <f>Calculs!A852</f>
        <v>45422</v>
      </c>
      <c r="B852">
        <f>Calculs!B852</f>
        <v>2367.300048828125</v>
      </c>
      <c r="C852">
        <f>Calculs!C852</f>
        <v>1.1039355384167846</v>
      </c>
      <c r="D852">
        <f t="shared" si="26"/>
        <v>1.498089474872309E-2</v>
      </c>
      <c r="E852">
        <f t="shared" si="27"/>
        <v>2.3596200186363735E-3</v>
      </c>
    </row>
    <row r="853" spans="1:5" x14ac:dyDescent="0.35">
      <c r="A853" s="1">
        <f>Calculs!A853</f>
        <v>45425</v>
      </c>
      <c r="B853">
        <f>Calculs!B853</f>
        <v>2336.10009765625</v>
      </c>
      <c r="C853">
        <f>Calculs!C853</f>
        <v>1.1032048421237994</v>
      </c>
      <c r="D853">
        <f t="shared" si="26"/>
        <v>-1.3267171767020015E-2</v>
      </c>
      <c r="E853">
        <f t="shared" si="27"/>
        <v>-6.6212038538408075E-4</v>
      </c>
    </row>
    <row r="854" spans="1:5" x14ac:dyDescent="0.35">
      <c r="A854" s="1">
        <f>Calculs!A854</f>
        <v>45426</v>
      </c>
      <c r="B854">
        <f>Calculs!B854</f>
        <v>2353.39990234375</v>
      </c>
      <c r="C854">
        <f>Calculs!C854</f>
        <v>1.1014429195733151</v>
      </c>
      <c r="D854">
        <f t="shared" si="26"/>
        <v>7.3781354798519282E-3</v>
      </c>
      <c r="E854">
        <f t="shared" si="27"/>
        <v>-1.5983713645394372E-3</v>
      </c>
    </row>
    <row r="855" spans="1:5" x14ac:dyDescent="0.35">
      <c r="A855" s="1">
        <f>Calculs!A855</f>
        <v>45427</v>
      </c>
      <c r="B855">
        <f>Calculs!B855</f>
        <v>2388.699951171875</v>
      </c>
      <c r="C855">
        <f>Calculs!C855</f>
        <v>1.1029006103247312</v>
      </c>
      <c r="D855">
        <f t="shared" si="26"/>
        <v>1.4888214910604233E-2</v>
      </c>
      <c r="E855">
        <f t="shared" si="27"/>
        <v>1.322562426522265E-3</v>
      </c>
    </row>
    <row r="856" spans="1:5" x14ac:dyDescent="0.35">
      <c r="A856" s="1">
        <f>Calculs!A856</f>
        <v>45428</v>
      </c>
      <c r="B856">
        <f>Calculs!B856</f>
        <v>2380</v>
      </c>
      <c r="C856">
        <f>Calculs!C856</f>
        <v>1.1104571990681202</v>
      </c>
      <c r="D856">
        <f t="shared" si="26"/>
        <v>-3.6487767790969396E-3</v>
      </c>
      <c r="E856">
        <f t="shared" si="27"/>
        <v>6.8281938612094898E-3</v>
      </c>
    </row>
    <row r="857" spans="1:5" x14ac:dyDescent="0.35">
      <c r="A857" s="1">
        <f>Calculs!A857</f>
        <v>45429</v>
      </c>
      <c r="B857">
        <f>Calculs!B857</f>
        <v>2412.199951171875</v>
      </c>
      <c r="C857">
        <f>Calculs!C857</f>
        <v>1.1037649366874585</v>
      </c>
      <c r="D857">
        <f t="shared" si="26"/>
        <v>1.3438686241467436E-2</v>
      </c>
      <c r="E857">
        <f t="shared" si="27"/>
        <v>-6.0448160556337144E-3</v>
      </c>
    </row>
    <row r="858" spans="1:5" x14ac:dyDescent="0.35">
      <c r="A858" s="1">
        <f>Calculs!A858</f>
        <v>45432</v>
      </c>
      <c r="B858">
        <f>Calculs!B858</f>
        <v>2433.89990234375</v>
      </c>
      <c r="C858">
        <f>Calculs!C858</f>
        <v>1.1004732164128117</v>
      </c>
      <c r="D858">
        <f t="shared" si="26"/>
        <v>8.9556950387785911E-3</v>
      </c>
      <c r="E858">
        <f t="shared" si="27"/>
        <v>-2.986721481978255E-3</v>
      </c>
    </row>
    <row r="859" spans="1:5" x14ac:dyDescent="0.35">
      <c r="A859" s="1">
        <f>Calculs!A859</f>
        <v>45433</v>
      </c>
      <c r="B859">
        <f>Calculs!B859</f>
        <v>2421.699951171875</v>
      </c>
      <c r="C859">
        <f>Calculs!C859</f>
        <v>1.0987561954460197</v>
      </c>
      <c r="D859">
        <f t="shared" si="26"/>
        <v>-5.0251162420579488E-3</v>
      </c>
      <c r="E859">
        <f t="shared" si="27"/>
        <v>-1.5614754026152991E-3</v>
      </c>
    </row>
    <row r="860" spans="1:5" x14ac:dyDescent="0.35">
      <c r="A860" s="1">
        <f>Calculs!A860</f>
        <v>45434</v>
      </c>
      <c r="B860">
        <f>Calculs!B860</f>
        <v>2389.199951171875</v>
      </c>
      <c r="C860">
        <f>Calculs!C860</f>
        <v>1.0975020946274441</v>
      </c>
      <c r="D860">
        <f t="shared" si="26"/>
        <v>-1.351119128257647E-2</v>
      </c>
      <c r="E860">
        <f t="shared" si="27"/>
        <v>-1.1420341228060322E-3</v>
      </c>
    </row>
    <row r="861" spans="1:5" x14ac:dyDescent="0.35">
      <c r="A861" s="1">
        <f>Calculs!A861</f>
        <v>45435</v>
      </c>
      <c r="B861">
        <f>Calculs!B861</f>
        <v>2335</v>
      </c>
      <c r="C861">
        <f>Calculs!C861</f>
        <v>1.0928961492338718</v>
      </c>
      <c r="D861">
        <f t="shared" si="26"/>
        <v>-2.2946670318134389E-2</v>
      </c>
      <c r="E861">
        <f t="shared" si="27"/>
        <v>-4.2055842541281361E-3</v>
      </c>
    </row>
    <row r="862" spans="1:5" x14ac:dyDescent="0.35">
      <c r="A862" s="1">
        <f>Calculs!A862</f>
        <v>45436</v>
      </c>
      <c r="B862">
        <f>Calculs!B862</f>
        <v>2332.5</v>
      </c>
      <c r="C862">
        <f>Calculs!C862</f>
        <v>1.0936970172971006</v>
      </c>
      <c r="D862">
        <f t="shared" si="26"/>
        <v>-1.0712373814988035E-3</v>
      </c>
      <c r="E862">
        <f t="shared" si="27"/>
        <v>7.3252593239468266E-4</v>
      </c>
    </row>
    <row r="863" spans="1:5" x14ac:dyDescent="0.35">
      <c r="A863" s="1">
        <f>Calculs!A863</f>
        <v>45440</v>
      </c>
      <c r="B863">
        <f>Calculs!B863</f>
        <v>2355.199951171875</v>
      </c>
      <c r="C863">
        <f>Calculs!C863</f>
        <v>1.0950503473869839</v>
      </c>
      <c r="D863">
        <f t="shared" si="26"/>
        <v>9.6849750810076001E-3</v>
      </c>
      <c r="E863">
        <f t="shared" si="27"/>
        <v>1.2366253722872536E-3</v>
      </c>
    </row>
    <row r="864" spans="1:5" x14ac:dyDescent="0.35">
      <c r="A864" s="1">
        <f>Calculs!A864</f>
        <v>45441</v>
      </c>
      <c r="B864">
        <f>Calculs!B864</f>
        <v>2340.300048828125</v>
      </c>
      <c r="C864">
        <f>Calculs!C864</f>
        <v>1.096142701477085</v>
      </c>
      <c r="D864">
        <f t="shared" si="26"/>
        <v>-6.3464816760843545E-3</v>
      </c>
      <c r="E864">
        <f t="shared" si="27"/>
        <v>9.9704056761119571E-4</v>
      </c>
    </row>
    <row r="865" spans="1:5" x14ac:dyDescent="0.35">
      <c r="A865" s="1">
        <f>Calculs!A865</f>
        <v>45442</v>
      </c>
      <c r="B865">
        <f>Calculs!B865</f>
        <v>2342.89990234375</v>
      </c>
      <c r="C865">
        <f>Calculs!C865</f>
        <v>1.0955302198091019</v>
      </c>
      <c r="D865">
        <f t="shared" si="26"/>
        <v>1.110289464388048E-3</v>
      </c>
      <c r="E865">
        <f t="shared" si="27"/>
        <v>-5.5891705188202149E-4</v>
      </c>
    </row>
    <row r="866" spans="1:5" x14ac:dyDescent="0.35">
      <c r="A866" s="1">
        <f>Calculs!A866</f>
        <v>45443</v>
      </c>
      <c r="B866">
        <f>Calculs!B866</f>
        <v>2322.89990234375</v>
      </c>
      <c r="C866">
        <f>Calculs!C866</f>
        <v>1.1070396641325679</v>
      </c>
      <c r="D866">
        <f t="shared" si="26"/>
        <v>-8.5730735706837907E-3</v>
      </c>
      <c r="E866">
        <f t="shared" si="27"/>
        <v>1.0451018299980229E-2</v>
      </c>
    </row>
    <row r="867" spans="1:5" x14ac:dyDescent="0.35">
      <c r="A867" s="1">
        <f>Calculs!A867</f>
        <v>45446</v>
      </c>
      <c r="B867">
        <f>Calculs!B867</f>
        <v>2346.60009765625</v>
      </c>
      <c r="C867">
        <f>Calculs!C867</f>
        <v>1.1094838919588088</v>
      </c>
      <c r="D867">
        <f t="shared" si="26"/>
        <v>1.0151150585457774E-2</v>
      </c>
      <c r="E867">
        <f t="shared" si="27"/>
        <v>2.2054616205300589E-3</v>
      </c>
    </row>
    <row r="868" spans="1:5" x14ac:dyDescent="0.35">
      <c r="A868" s="1">
        <f>Calculs!A868</f>
        <v>45447</v>
      </c>
      <c r="B868">
        <f>Calculs!B868</f>
        <v>2325.5</v>
      </c>
      <c r="C868">
        <f>Calculs!C868</f>
        <v>1.1172934582068235</v>
      </c>
      <c r="D868">
        <f t="shared" si="26"/>
        <v>-9.0324439414323776E-3</v>
      </c>
      <c r="E868">
        <f t="shared" si="27"/>
        <v>7.0142605559843476E-3</v>
      </c>
    </row>
    <row r="869" spans="1:5" x14ac:dyDescent="0.35">
      <c r="A869" s="1">
        <f>Calculs!A869</f>
        <v>45448</v>
      </c>
      <c r="B869">
        <f>Calculs!B869</f>
        <v>2354.10009765625</v>
      </c>
      <c r="C869">
        <f>Calculs!C869</f>
        <v>1.1236586610450299</v>
      </c>
      <c r="D869">
        <f t="shared" si="26"/>
        <v>1.2223460620860391E-2</v>
      </c>
      <c r="E869">
        <f t="shared" si="27"/>
        <v>5.6808174538850757E-3</v>
      </c>
    </row>
    <row r="870" spans="1:5" x14ac:dyDescent="0.35">
      <c r="A870" s="1">
        <f>Calculs!A870</f>
        <v>45449</v>
      </c>
      <c r="B870">
        <f>Calculs!B870</f>
        <v>2370.300048828125</v>
      </c>
      <c r="C870">
        <f>Calculs!C870</f>
        <v>1.1204482002235259</v>
      </c>
      <c r="D870">
        <f t="shared" si="26"/>
        <v>6.8580197117618603E-3</v>
      </c>
      <c r="E870">
        <f t="shared" si="27"/>
        <v>-2.8612389785595562E-3</v>
      </c>
    </row>
    <row r="871" spans="1:5" x14ac:dyDescent="0.35">
      <c r="A871" s="1">
        <f>Calculs!A871</f>
        <v>45450</v>
      </c>
      <c r="B871">
        <f>Calculs!B871</f>
        <v>2305.199951171875</v>
      </c>
      <c r="C871">
        <f>Calculs!C871</f>
        <v>1.1239490789356887</v>
      </c>
      <c r="D871">
        <f t="shared" si="26"/>
        <v>-2.7849130615993235E-2</v>
      </c>
      <c r="E871">
        <f t="shared" si="27"/>
        <v>3.119662979428704E-3</v>
      </c>
    </row>
    <row r="872" spans="1:5" x14ac:dyDescent="0.35">
      <c r="A872" s="1">
        <f>Calculs!A872</f>
        <v>45453</v>
      </c>
      <c r="B872">
        <f>Calculs!B872</f>
        <v>2307.699951171875</v>
      </c>
      <c r="C872">
        <f>Calculs!C872</f>
        <v>1.1159469000495741</v>
      </c>
      <c r="D872">
        <f t="shared" si="26"/>
        <v>1.0839169709689002E-3</v>
      </c>
      <c r="E872">
        <f t="shared" si="27"/>
        <v>-7.1451647808818452E-3</v>
      </c>
    </row>
    <row r="873" spans="1:5" x14ac:dyDescent="0.35">
      <c r="A873" s="1">
        <f>Calculs!A873</f>
        <v>45454</v>
      </c>
      <c r="B873">
        <f>Calculs!B873</f>
        <v>2307.5</v>
      </c>
      <c r="C873">
        <f>Calculs!C873</f>
        <v>1.1153494628016432</v>
      </c>
      <c r="D873">
        <f t="shared" si="26"/>
        <v>-8.6648974742449842E-5</v>
      </c>
      <c r="E873">
        <f t="shared" si="27"/>
        <v>-5.3550686690910412E-4</v>
      </c>
    </row>
    <row r="874" spans="1:5" x14ac:dyDescent="0.35">
      <c r="A874" s="1">
        <f>Calculs!A874</f>
        <v>45455</v>
      </c>
      <c r="B874">
        <f>Calculs!B874</f>
        <v>2336</v>
      </c>
      <c r="C874">
        <f>Calculs!C874</f>
        <v>1.1138586276192886</v>
      </c>
      <c r="D874">
        <f t="shared" si="26"/>
        <v>1.2275377571110555E-2</v>
      </c>
      <c r="E874">
        <f t="shared" si="27"/>
        <v>-1.3375470966784395E-3</v>
      </c>
    </row>
    <row r="875" spans="1:5" x14ac:dyDescent="0.35">
      <c r="A875" s="1">
        <f>Calculs!A875</f>
        <v>45456</v>
      </c>
      <c r="B875">
        <f>Calculs!B875</f>
        <v>2300.199951171875</v>
      </c>
      <c r="C875">
        <f>Calculs!C875</f>
        <v>1.1182430300003472</v>
      </c>
      <c r="D875">
        <f t="shared" si="26"/>
        <v>-1.5444010517410593E-2</v>
      </c>
      <c r="E875">
        <f t="shared" si="27"/>
        <v>3.9285020956318197E-3</v>
      </c>
    </row>
    <row r="876" spans="1:5" x14ac:dyDescent="0.35">
      <c r="A876" s="1">
        <f>Calculs!A876</f>
        <v>45457</v>
      </c>
      <c r="B876">
        <f>Calculs!B876</f>
        <v>2331.39990234375</v>
      </c>
      <c r="C876">
        <f>Calculs!C876</f>
        <v>1.1186558007027365</v>
      </c>
      <c r="D876">
        <f t="shared" si="26"/>
        <v>1.3472849167638714E-2</v>
      </c>
      <c r="E876">
        <f t="shared" si="27"/>
        <v>3.6905621426299329E-4</v>
      </c>
    </row>
    <row r="877" spans="1:5" x14ac:dyDescent="0.35">
      <c r="A877" s="1">
        <f>Calculs!A877</f>
        <v>45460</v>
      </c>
      <c r="B877">
        <f>Calculs!B877</f>
        <v>2312.39990234375</v>
      </c>
      <c r="C877">
        <f>Calculs!C877</f>
        <v>1.1226746306369726</v>
      </c>
      <c r="D877">
        <f t="shared" si="26"/>
        <v>-8.1829996215816558E-3</v>
      </c>
      <c r="E877">
        <f t="shared" si="27"/>
        <v>3.586114911894412E-3</v>
      </c>
    </row>
    <row r="878" spans="1:5" x14ac:dyDescent="0.35">
      <c r="A878" s="1">
        <f>Calculs!A878</f>
        <v>45461</v>
      </c>
      <c r="B878">
        <f>Calculs!B878</f>
        <v>2330.39990234375</v>
      </c>
      <c r="C878">
        <f>Calculs!C878</f>
        <v>1.125745804542259</v>
      </c>
      <c r="D878">
        <f t="shared" si="26"/>
        <v>7.7539807631003049E-3</v>
      </c>
      <c r="E878">
        <f t="shared" si="27"/>
        <v>2.731851896782381E-3</v>
      </c>
    </row>
    <row r="879" spans="1:5" x14ac:dyDescent="0.35">
      <c r="A879" s="1">
        <f>Calculs!A879</f>
        <v>45463</v>
      </c>
      <c r="B879">
        <f>Calculs!B879</f>
        <v>2353.800048828125</v>
      </c>
      <c r="C879">
        <f>Calculs!C879</f>
        <v>1.1308379592145965</v>
      </c>
      <c r="D879">
        <f t="shared" si="26"/>
        <v>9.9911794480786777E-3</v>
      </c>
      <c r="E879">
        <f t="shared" si="27"/>
        <v>4.5131613525448006E-3</v>
      </c>
    </row>
    <row r="880" spans="1:5" x14ac:dyDescent="0.35">
      <c r="A880" s="1">
        <f>Calculs!A880</f>
        <v>45464</v>
      </c>
      <c r="B880">
        <f>Calculs!B880</f>
        <v>2316.39990234375</v>
      </c>
      <c r="C880">
        <f>Calculs!C880</f>
        <v>1.1217175958365202</v>
      </c>
      <c r="D880">
        <f t="shared" si="26"/>
        <v>-1.6016849994939065E-2</v>
      </c>
      <c r="E880">
        <f t="shared" si="27"/>
        <v>-8.0978364298467179E-3</v>
      </c>
    </row>
    <row r="881" spans="1:5" x14ac:dyDescent="0.35">
      <c r="A881" s="1">
        <f>Calculs!A881</f>
        <v>45467</v>
      </c>
      <c r="B881">
        <f>Calculs!B881</f>
        <v>2330</v>
      </c>
      <c r="C881">
        <f>Calculs!C881</f>
        <v>1.1184431141636595</v>
      </c>
      <c r="D881">
        <f t="shared" si="26"/>
        <v>5.8540533667421589E-3</v>
      </c>
      <c r="E881">
        <f t="shared" si="27"/>
        <v>-2.923436689476016E-3</v>
      </c>
    </row>
    <row r="882" spans="1:5" x14ac:dyDescent="0.35">
      <c r="A882" s="1">
        <f>Calculs!A882</f>
        <v>45468</v>
      </c>
      <c r="B882">
        <f>Calculs!B882</f>
        <v>2316.60009765625</v>
      </c>
      <c r="C882">
        <f>Calculs!C882</f>
        <v>1.1195825866542561</v>
      </c>
      <c r="D882">
        <f t="shared" si="26"/>
        <v>-5.7676319065113404E-3</v>
      </c>
      <c r="E882">
        <f t="shared" si="27"/>
        <v>1.0182837387795686E-3</v>
      </c>
    </row>
    <row r="883" spans="1:5" x14ac:dyDescent="0.35">
      <c r="A883" s="1">
        <f>Calculs!A883</f>
        <v>45469</v>
      </c>
      <c r="B883">
        <f>Calculs!B883</f>
        <v>2299.199951171875</v>
      </c>
      <c r="C883">
        <f>Calculs!C883</f>
        <v>1.1170687938262587</v>
      </c>
      <c r="D883">
        <f t="shared" si="26"/>
        <v>-7.5394205654809275E-3</v>
      </c>
      <c r="E883">
        <f t="shared" si="27"/>
        <v>-2.2478191356838624E-3</v>
      </c>
    </row>
    <row r="884" spans="1:5" x14ac:dyDescent="0.35">
      <c r="A884" s="1">
        <f>Calculs!A884</f>
        <v>45470</v>
      </c>
      <c r="B884">
        <f>Calculs!B884</f>
        <v>2324.5</v>
      </c>
      <c r="C884">
        <f>Calculs!C884</f>
        <v>1.1152001478317457</v>
      </c>
      <c r="D884">
        <f t="shared" si="26"/>
        <v>1.0943747042885628E-2</v>
      </c>
      <c r="E884">
        <f t="shared" si="27"/>
        <v>-1.6742126328270638E-3</v>
      </c>
    </row>
    <row r="885" spans="1:5" x14ac:dyDescent="0.35">
      <c r="A885" s="1">
        <f>Calculs!A885</f>
        <v>45471</v>
      </c>
      <c r="B885">
        <f>Calculs!B885</f>
        <v>2327.699951171875</v>
      </c>
      <c r="C885">
        <f>Calculs!C885</f>
        <v>1.1129412901010596</v>
      </c>
      <c r="D885">
        <f t="shared" si="26"/>
        <v>1.3756724603899051E-3</v>
      </c>
      <c r="E885">
        <f t="shared" si="27"/>
        <v>-2.0275719180895546E-3</v>
      </c>
    </row>
    <row r="886" spans="1:5" x14ac:dyDescent="0.35">
      <c r="A886" s="1">
        <f>Calculs!A886</f>
        <v>45474</v>
      </c>
      <c r="B886">
        <f>Calculs!B886</f>
        <v>2327.60009765625</v>
      </c>
      <c r="C886">
        <f>Calculs!C886</f>
        <v>1.1108642408552027</v>
      </c>
      <c r="D886">
        <f t="shared" si="26"/>
        <v>-4.2898852745440194E-5</v>
      </c>
      <c r="E886">
        <f t="shared" si="27"/>
        <v>-1.8680139256134027E-3</v>
      </c>
    </row>
    <row r="887" spans="1:5" x14ac:dyDescent="0.35">
      <c r="A887" s="1">
        <f>Calculs!A887</f>
        <v>45475</v>
      </c>
      <c r="B887">
        <f>Calculs!B887</f>
        <v>2323</v>
      </c>
      <c r="C887">
        <f>Calculs!C887</f>
        <v>1.1072235557013326</v>
      </c>
      <c r="D887">
        <f t="shared" si="26"/>
        <v>-1.9782819678747557E-3</v>
      </c>
      <c r="E887">
        <f t="shared" si="27"/>
        <v>-3.2827270669329818E-3</v>
      </c>
    </row>
    <row r="888" spans="1:5" x14ac:dyDescent="0.35">
      <c r="A888" s="1">
        <f>Calculs!A888</f>
        <v>45476</v>
      </c>
      <c r="B888">
        <f>Calculs!B888</f>
        <v>2359.800048828125</v>
      </c>
      <c r="C888">
        <f>Calculs!C888</f>
        <v>1.106574180936565</v>
      </c>
      <c r="D888">
        <f t="shared" si="26"/>
        <v>1.571743658704651E-2</v>
      </c>
      <c r="E888">
        <f t="shared" si="27"/>
        <v>-5.8666134908819947E-4</v>
      </c>
    </row>
    <row r="889" spans="1:5" x14ac:dyDescent="0.35">
      <c r="A889" s="1">
        <f>Calculs!A889</f>
        <v>45478</v>
      </c>
      <c r="B889">
        <f>Calculs!B889</f>
        <v>2388.5</v>
      </c>
      <c r="C889">
        <f>Calculs!C889</f>
        <v>1.1108025330765219</v>
      </c>
      <c r="D889">
        <f t="shared" si="26"/>
        <v>1.2088663472560882E-2</v>
      </c>
      <c r="E889">
        <f t="shared" si="27"/>
        <v>3.81383753015405E-3</v>
      </c>
    </row>
    <row r="890" spans="1:5" x14ac:dyDescent="0.35">
      <c r="A890" s="1">
        <f>Calculs!A890</f>
        <v>45481</v>
      </c>
      <c r="B890">
        <f>Calculs!B890</f>
        <v>2355.199951171875</v>
      </c>
      <c r="C890">
        <f>Calculs!C890</f>
        <v>1.1170313833373715</v>
      </c>
      <c r="D890">
        <f t="shared" si="26"/>
        <v>-1.403992502750996E-2</v>
      </c>
      <c r="E890">
        <f t="shared" si="27"/>
        <v>5.5918589314191925E-3</v>
      </c>
    </row>
    <row r="891" spans="1:5" x14ac:dyDescent="0.35">
      <c r="A891" s="1">
        <f>Calculs!A891</f>
        <v>45482</v>
      </c>
      <c r="B891">
        <f>Calculs!B891</f>
        <v>2360.10009765625</v>
      </c>
      <c r="C891">
        <f>Calculs!C891</f>
        <v>1.1138214318339703</v>
      </c>
      <c r="D891">
        <f t="shared" si="26"/>
        <v>2.0784035788128691E-3</v>
      </c>
      <c r="E891">
        <f t="shared" si="27"/>
        <v>-2.8777817136773358E-3</v>
      </c>
    </row>
    <row r="892" spans="1:5" x14ac:dyDescent="0.35">
      <c r="A892" s="1">
        <f>Calculs!A892</f>
        <v>45483</v>
      </c>
      <c r="B892">
        <f>Calculs!B892</f>
        <v>2372.199951171875</v>
      </c>
      <c r="C892">
        <f>Calculs!C892</f>
        <v>1.1143302607341161</v>
      </c>
      <c r="D892">
        <f t="shared" si="26"/>
        <v>5.1137416303785902E-3</v>
      </c>
      <c r="E892">
        <f t="shared" si="27"/>
        <v>4.5672735001672815E-4</v>
      </c>
    </row>
    <row r="893" spans="1:5" x14ac:dyDescent="0.35">
      <c r="A893" s="1">
        <f>Calculs!A893</f>
        <v>45484</v>
      </c>
      <c r="B893">
        <f>Calculs!B893</f>
        <v>2415</v>
      </c>
      <c r="C893">
        <f>Calculs!C893</f>
        <v>1.1120996166464261</v>
      </c>
      <c r="D893">
        <f t="shared" si="26"/>
        <v>1.7881513074975274E-2</v>
      </c>
      <c r="E893">
        <f t="shared" si="27"/>
        <v>-2.0037862918731199E-3</v>
      </c>
    </row>
    <row r="894" spans="1:5" x14ac:dyDescent="0.35">
      <c r="A894" s="1">
        <f>Calculs!A894</f>
        <v>45485</v>
      </c>
      <c r="B894">
        <f>Calculs!B894</f>
        <v>2414</v>
      </c>
      <c r="C894">
        <f>Calculs!C894</f>
        <v>1.1160340504077426</v>
      </c>
      <c r="D894">
        <f t="shared" si="26"/>
        <v>-4.1416442919625911E-4</v>
      </c>
      <c r="E894">
        <f t="shared" si="27"/>
        <v>3.5315994805370783E-3</v>
      </c>
    </row>
    <row r="895" spans="1:5" x14ac:dyDescent="0.35">
      <c r="A895" s="1">
        <f>Calculs!A895</f>
        <v>45488</v>
      </c>
      <c r="B895">
        <f>Calculs!B895</f>
        <v>2422.89990234375</v>
      </c>
      <c r="C895">
        <f>Calculs!C895</f>
        <v>1.1149639500516937</v>
      </c>
      <c r="D895">
        <f t="shared" si="26"/>
        <v>3.6800068503831792E-3</v>
      </c>
      <c r="E895">
        <f t="shared" si="27"/>
        <v>-9.5930201451801742E-4</v>
      </c>
    </row>
    <row r="896" spans="1:5" x14ac:dyDescent="0.35">
      <c r="A896" s="1">
        <f>Calculs!A896</f>
        <v>45489</v>
      </c>
      <c r="B896">
        <f>Calculs!B896</f>
        <v>2462.39990234375</v>
      </c>
      <c r="C896">
        <f>Calculs!C896</f>
        <v>1.1167319666117617</v>
      </c>
      <c r="D896">
        <f t="shared" si="26"/>
        <v>1.6171314917783012E-2</v>
      </c>
      <c r="E896">
        <f t="shared" si="27"/>
        <v>1.584460424695458E-3</v>
      </c>
    </row>
    <row r="897" spans="1:5" x14ac:dyDescent="0.35">
      <c r="A897" s="1">
        <f>Calculs!A897</f>
        <v>45490</v>
      </c>
      <c r="B897">
        <f>Calculs!B897</f>
        <v>2454.800048828125</v>
      </c>
      <c r="C897">
        <f>Calculs!C897</f>
        <v>1.1195450076055611</v>
      </c>
      <c r="D897">
        <f t="shared" si="26"/>
        <v>-3.0911330198242801E-3</v>
      </c>
      <c r="E897">
        <f t="shared" si="27"/>
        <v>2.5158265366644274E-3</v>
      </c>
    </row>
    <row r="898" spans="1:5" x14ac:dyDescent="0.35">
      <c r="A898" s="1">
        <f>Calculs!A898</f>
        <v>45491</v>
      </c>
      <c r="B898">
        <f>Calculs!B898</f>
        <v>2451.800048828125</v>
      </c>
      <c r="C898">
        <f>Calculs!C898</f>
        <v>1.1333370757226544</v>
      </c>
      <c r="D898">
        <f t="shared" si="26"/>
        <v>-1.2228428297097356E-3</v>
      </c>
      <c r="E898">
        <f t="shared" si="27"/>
        <v>1.2244085498223039E-2</v>
      </c>
    </row>
    <row r="899" spans="1:5" x14ac:dyDescent="0.35">
      <c r="A899" s="1">
        <f>Calculs!A899</f>
        <v>45492</v>
      </c>
      <c r="B899">
        <f>Calculs!B899</f>
        <v>2395.5</v>
      </c>
      <c r="C899">
        <f>Calculs!C899</f>
        <v>1.1270145200754729</v>
      </c>
      <c r="D899">
        <f t="shared" si="26"/>
        <v>-2.3230491252932139E-2</v>
      </c>
      <c r="E899">
        <f t="shared" si="27"/>
        <v>-5.5943262529666417E-3</v>
      </c>
    </row>
    <row r="900" spans="1:5" x14ac:dyDescent="0.35">
      <c r="A900" s="1">
        <f>Calculs!A900</f>
        <v>45495</v>
      </c>
      <c r="B900">
        <f>Calculs!B900</f>
        <v>2392</v>
      </c>
      <c r="C900">
        <f>Calculs!C900</f>
        <v>1.1261134129341692</v>
      </c>
      <c r="D900">
        <f t="shared" ref="D900:D963" si="28">LN(B900/B899)</f>
        <v>-1.4621412526544951E-3</v>
      </c>
      <c r="E900">
        <f t="shared" ref="E900:E963" si="29">LN(C900/C899)</f>
        <v>-7.9987219202739201E-4</v>
      </c>
    </row>
    <row r="901" spans="1:5" x14ac:dyDescent="0.35">
      <c r="A901" s="1">
        <f>Calculs!A901</f>
        <v>45496</v>
      </c>
      <c r="B901">
        <f>Calculs!B901</f>
        <v>2404.60009765625</v>
      </c>
      <c r="C901">
        <f>Calculs!C901</f>
        <v>1.1242270661502316</v>
      </c>
      <c r="D901">
        <f t="shared" si="28"/>
        <v>5.2537740825496018E-3</v>
      </c>
      <c r="E901">
        <f t="shared" si="29"/>
        <v>-1.6764993949065861E-3</v>
      </c>
    </row>
    <row r="902" spans="1:5" x14ac:dyDescent="0.35">
      <c r="A902" s="1">
        <f>Calculs!A902</f>
        <v>45497</v>
      </c>
      <c r="B902">
        <f>Calculs!B902</f>
        <v>2413.300048828125</v>
      </c>
      <c r="C902">
        <f>Calculs!C902</f>
        <v>1.1216797983369107</v>
      </c>
      <c r="D902">
        <f t="shared" si="28"/>
        <v>3.6115155414233003E-3</v>
      </c>
      <c r="E902">
        <f t="shared" si="29"/>
        <v>-2.2683655728047698E-3</v>
      </c>
    </row>
    <row r="903" spans="1:5" x14ac:dyDescent="0.35">
      <c r="A903" s="1">
        <f>Calculs!A903</f>
        <v>45498</v>
      </c>
      <c r="B903">
        <f>Calculs!B903</f>
        <v>2351.89990234375</v>
      </c>
      <c r="C903">
        <f>Calculs!C903</f>
        <v>1.1299179454548345</v>
      </c>
      <c r="D903">
        <f t="shared" si="28"/>
        <v>-2.5771655108934748E-2</v>
      </c>
      <c r="E903">
        <f t="shared" si="29"/>
        <v>7.3176338018658624E-3</v>
      </c>
    </row>
    <row r="904" spans="1:5" x14ac:dyDescent="0.35">
      <c r="A904" s="1">
        <f>Calculs!A904</f>
        <v>45499</v>
      </c>
      <c r="B904">
        <f>Calculs!B904</f>
        <v>2380</v>
      </c>
      <c r="C904">
        <f>Calculs!C904</f>
        <v>1.1355378289908951</v>
      </c>
      <c r="D904">
        <f t="shared" si="28"/>
        <v>1.1877017079959726E-2</v>
      </c>
      <c r="E904">
        <f t="shared" si="29"/>
        <v>4.9613813938697996E-3</v>
      </c>
    </row>
    <row r="905" spans="1:5" x14ac:dyDescent="0.35">
      <c r="A905" s="1">
        <f>Calculs!A905</f>
        <v>45502</v>
      </c>
      <c r="B905">
        <f>Calculs!B905</f>
        <v>2377.300048828125</v>
      </c>
      <c r="C905">
        <f>Calculs!C905</f>
        <v>1.1308379592145965</v>
      </c>
      <c r="D905">
        <f t="shared" si="28"/>
        <v>-1.1350772219737724E-3</v>
      </c>
      <c r="E905">
        <f t="shared" si="29"/>
        <v>-4.1474821058935353E-3</v>
      </c>
    </row>
    <row r="906" spans="1:5" x14ac:dyDescent="0.35">
      <c r="A906" s="1">
        <f>Calculs!A906</f>
        <v>45503</v>
      </c>
      <c r="B906">
        <f>Calculs!B906</f>
        <v>2405</v>
      </c>
      <c r="C906">
        <f>Calculs!C906</f>
        <v>1.1285408041588854</v>
      </c>
      <c r="D906">
        <f t="shared" si="28"/>
        <v>1.1584493096314897E-2</v>
      </c>
      <c r="E906">
        <f t="shared" si="29"/>
        <v>-2.0334402398467216E-3</v>
      </c>
    </row>
    <row r="907" spans="1:5" x14ac:dyDescent="0.35">
      <c r="A907" s="1">
        <f>Calculs!A907</f>
        <v>45504</v>
      </c>
      <c r="B907">
        <f>Calculs!B907</f>
        <v>2426.5</v>
      </c>
      <c r="C907">
        <f>Calculs!C907</f>
        <v>1.1337482720647265</v>
      </c>
      <c r="D907">
        <f t="shared" si="28"/>
        <v>8.8999863054093509E-3</v>
      </c>
      <c r="E907">
        <f t="shared" si="29"/>
        <v>4.603723863535171E-3</v>
      </c>
    </row>
    <row r="908" spans="1:5" x14ac:dyDescent="0.35">
      <c r="A908" s="1">
        <f>Calculs!A908</f>
        <v>45505</v>
      </c>
      <c r="B908">
        <f>Calculs!B908</f>
        <v>2435</v>
      </c>
      <c r="C908">
        <f>Calculs!C908</f>
        <v>1.1387706186980511</v>
      </c>
      <c r="D908">
        <f t="shared" si="28"/>
        <v>3.4968666714193194E-3</v>
      </c>
      <c r="E908">
        <f t="shared" si="29"/>
        <v>4.420077501288166E-3</v>
      </c>
    </row>
    <row r="909" spans="1:5" x14ac:dyDescent="0.35">
      <c r="A909" s="1">
        <f>Calculs!A909</f>
        <v>45506</v>
      </c>
      <c r="B909">
        <f>Calculs!B909</f>
        <v>2425.699951171875</v>
      </c>
      <c r="C909">
        <f>Calculs!C909</f>
        <v>1.1456065866784952</v>
      </c>
      <c r="D909">
        <f t="shared" si="28"/>
        <v>-3.8266341350136168E-3</v>
      </c>
      <c r="E909">
        <f t="shared" si="29"/>
        <v>5.984990893599571E-3</v>
      </c>
    </row>
    <row r="910" spans="1:5" x14ac:dyDescent="0.35">
      <c r="A910" s="1">
        <f>Calculs!A910</f>
        <v>45509</v>
      </c>
      <c r="B910">
        <f>Calculs!B910</f>
        <v>2401.699951171875</v>
      </c>
      <c r="C910">
        <f>Calculs!C910</f>
        <v>1.1680878091064004</v>
      </c>
      <c r="D910">
        <f t="shared" si="28"/>
        <v>-9.9433227926106604E-3</v>
      </c>
      <c r="E910">
        <f t="shared" si="29"/>
        <v>1.9433793857194674E-2</v>
      </c>
    </row>
    <row r="911" spans="1:5" x14ac:dyDescent="0.35">
      <c r="A911" s="1">
        <f>Calculs!A911</f>
        <v>45510</v>
      </c>
      <c r="B911">
        <f>Calculs!B911</f>
        <v>2389.10009765625</v>
      </c>
      <c r="C911">
        <f>Calculs!C911</f>
        <v>1.1698232032703588</v>
      </c>
      <c r="D911">
        <f t="shared" si="28"/>
        <v>-5.2600327453438626E-3</v>
      </c>
      <c r="E911">
        <f t="shared" si="29"/>
        <v>1.4845684660341764E-3</v>
      </c>
    </row>
    <row r="912" spans="1:5" x14ac:dyDescent="0.35">
      <c r="A912" s="1">
        <f>Calculs!A912</f>
        <v>45511</v>
      </c>
      <c r="B912">
        <f>Calculs!B912</f>
        <v>2390.5</v>
      </c>
      <c r="C912">
        <f>Calculs!C912</f>
        <v>1.172951692099286</v>
      </c>
      <c r="D912">
        <f t="shared" si="28"/>
        <v>5.8578222243603018E-4</v>
      </c>
      <c r="E912">
        <f t="shared" si="29"/>
        <v>2.670756541501828E-3</v>
      </c>
    </row>
    <row r="913" spans="1:5" x14ac:dyDescent="0.35">
      <c r="A913" s="1">
        <f>Calculs!A913</f>
        <v>45512</v>
      </c>
      <c r="B913">
        <f>Calculs!B913</f>
        <v>2422.199951171875</v>
      </c>
      <c r="C913">
        <f>Calculs!C913</f>
        <v>1.1637785878872859</v>
      </c>
      <c r="D913">
        <f t="shared" si="28"/>
        <v>1.3173648862206806E-2</v>
      </c>
      <c r="E913">
        <f t="shared" si="29"/>
        <v>-7.8512709931250445E-3</v>
      </c>
    </row>
    <row r="914" spans="1:5" x14ac:dyDescent="0.35">
      <c r="A914" s="1">
        <f>Calculs!A914</f>
        <v>45513</v>
      </c>
      <c r="B914">
        <f>Calculs!B914</f>
        <v>2432.10009765625</v>
      </c>
      <c r="C914">
        <f>Calculs!C914</f>
        <v>1.1536020980064401</v>
      </c>
      <c r="D914">
        <f t="shared" si="28"/>
        <v>4.0789238864625725E-3</v>
      </c>
      <c r="E914">
        <f t="shared" si="29"/>
        <v>-8.7828084169741735E-3</v>
      </c>
    </row>
    <row r="915" spans="1:5" x14ac:dyDescent="0.35">
      <c r="A915" s="1">
        <f>Calculs!A915</f>
        <v>45516</v>
      </c>
      <c r="B915">
        <f>Calculs!B915</f>
        <v>2462.39990234375</v>
      </c>
      <c r="C915">
        <f>Calculs!C915</f>
        <v>1.1560159010947662</v>
      </c>
      <c r="D915">
        <f t="shared" si="28"/>
        <v>1.2381322610815695E-2</v>
      </c>
      <c r="E915">
        <f t="shared" si="29"/>
        <v>2.0902192207491533E-3</v>
      </c>
    </row>
    <row r="916" spans="1:5" x14ac:dyDescent="0.35">
      <c r="A916" s="1">
        <f>Calculs!A916</f>
        <v>45517</v>
      </c>
      <c r="B916">
        <f>Calculs!B916</f>
        <v>2466.699951171875</v>
      </c>
      <c r="C916">
        <f>Calculs!C916</f>
        <v>1.1564303301915209</v>
      </c>
      <c r="D916">
        <f t="shared" si="28"/>
        <v>1.7447607257966857E-3</v>
      </c>
      <c r="E916">
        <f t="shared" si="29"/>
        <v>3.584335026558911E-4</v>
      </c>
    </row>
    <row r="917" spans="1:5" x14ac:dyDescent="0.35">
      <c r="A917" s="1">
        <f>Calculs!A917</f>
        <v>45518</v>
      </c>
      <c r="B917">
        <f>Calculs!B917</f>
        <v>2439.39990234375</v>
      </c>
      <c r="C917">
        <f>Calculs!C917</f>
        <v>1.1560025193736623</v>
      </c>
      <c r="D917">
        <f t="shared" si="28"/>
        <v>-1.1129137775200023E-2</v>
      </c>
      <c r="E917">
        <f t="shared" si="29"/>
        <v>-3.7000929373568451E-4</v>
      </c>
    </row>
    <row r="918" spans="1:5" x14ac:dyDescent="0.35">
      <c r="A918" s="1">
        <f>Calculs!A918</f>
        <v>45519</v>
      </c>
      <c r="B918">
        <f>Calculs!B918</f>
        <v>2453.10009765625</v>
      </c>
      <c r="C918">
        <f>Calculs!C918</f>
        <v>1.1563287074118014</v>
      </c>
      <c r="D918">
        <f t="shared" si="28"/>
        <v>5.6005032691237872E-3</v>
      </c>
      <c r="E918">
        <f t="shared" si="29"/>
        <v>2.8212916603312404E-4</v>
      </c>
    </row>
    <row r="919" spans="1:5" x14ac:dyDescent="0.35">
      <c r="A919" s="1">
        <f>Calculs!A919</f>
        <v>45520</v>
      </c>
      <c r="B919">
        <f>Calculs!B919</f>
        <v>2498.60009765625</v>
      </c>
      <c r="C919">
        <f>Calculs!C919</f>
        <v>1.1461449561970858</v>
      </c>
      <c r="D919">
        <f t="shared" si="28"/>
        <v>1.837804343675201E-2</v>
      </c>
      <c r="E919">
        <f t="shared" si="29"/>
        <v>-8.8459796811421482E-3</v>
      </c>
    </row>
    <row r="920" spans="1:5" x14ac:dyDescent="0.35">
      <c r="A920" s="1">
        <f>Calculs!A920</f>
        <v>45523</v>
      </c>
      <c r="B920">
        <f>Calculs!B920</f>
        <v>2501.800048828125</v>
      </c>
      <c r="C920">
        <f>Calculs!C920</f>
        <v>1.1526314621536473</v>
      </c>
      <c r="D920">
        <f t="shared" si="28"/>
        <v>1.2798782157230325E-3</v>
      </c>
      <c r="E920">
        <f t="shared" si="29"/>
        <v>5.6434572064406096E-3</v>
      </c>
    </row>
    <row r="921" spans="1:5" x14ac:dyDescent="0.35">
      <c r="A921" s="1">
        <f>Calculs!A921</f>
        <v>45524</v>
      </c>
      <c r="B921">
        <f>Calculs!B921</f>
        <v>2511.300048828125</v>
      </c>
      <c r="C921">
        <f>Calculs!C921</f>
        <v>1.1595950503201236</v>
      </c>
      <c r="D921">
        <f t="shared" si="28"/>
        <v>3.7900744796478744E-3</v>
      </c>
      <c r="E921">
        <f t="shared" si="29"/>
        <v>6.0232932908442808E-3</v>
      </c>
    </row>
    <row r="922" spans="1:5" x14ac:dyDescent="0.35">
      <c r="A922" s="1">
        <f>Calculs!A922</f>
        <v>45525</v>
      </c>
      <c r="B922">
        <f>Calculs!B922</f>
        <v>2508.39990234375</v>
      </c>
      <c r="C922">
        <f>Calculs!C922</f>
        <v>1.1715638433670661</v>
      </c>
      <c r="D922">
        <f t="shared" si="28"/>
        <v>-1.1555060403106994E-3</v>
      </c>
      <c r="E922">
        <f t="shared" si="29"/>
        <v>1.0268624974137384E-2</v>
      </c>
    </row>
    <row r="923" spans="1:5" x14ac:dyDescent="0.35">
      <c r="A923" s="1">
        <f>Calculs!A923</f>
        <v>45526</v>
      </c>
      <c r="B923">
        <f>Calculs!B923</f>
        <v>2478.89990234375</v>
      </c>
      <c r="C923">
        <f>Calculs!C923</f>
        <v>1.1749500265738242</v>
      </c>
      <c r="D923">
        <f t="shared" si="28"/>
        <v>-1.1830186756921601E-2</v>
      </c>
      <c r="E923">
        <f t="shared" si="29"/>
        <v>2.8861415230976742E-3</v>
      </c>
    </row>
    <row r="924" spans="1:5" x14ac:dyDescent="0.35">
      <c r="A924" s="1">
        <f>Calculs!A924</f>
        <v>45527</v>
      </c>
      <c r="B924">
        <f>Calculs!B924</f>
        <v>2508.39990234375</v>
      </c>
      <c r="C924">
        <f>Calculs!C924</f>
        <v>1.1741223326361845</v>
      </c>
      <c r="D924">
        <f t="shared" si="28"/>
        <v>1.1830186756921704E-2</v>
      </c>
      <c r="E924">
        <f t="shared" si="29"/>
        <v>-7.0469857486279346E-4</v>
      </c>
    </row>
    <row r="925" spans="1:5" x14ac:dyDescent="0.35">
      <c r="A925" s="1">
        <f>Calculs!A925</f>
        <v>45530</v>
      </c>
      <c r="B925">
        <f>Calculs!B925</f>
        <v>2517.699951171875</v>
      </c>
      <c r="C925">
        <f>Calculs!C925</f>
        <v>1.1801916349921153</v>
      </c>
      <c r="D925">
        <f t="shared" si="28"/>
        <v>3.700706198852698E-3</v>
      </c>
      <c r="E925">
        <f t="shared" si="29"/>
        <v>5.1559102860599766E-3</v>
      </c>
    </row>
    <row r="926" spans="1:5" x14ac:dyDescent="0.35">
      <c r="A926" s="1">
        <f>Calculs!A926</f>
        <v>45531</v>
      </c>
      <c r="B926">
        <f>Calculs!B926</f>
        <v>2516</v>
      </c>
      <c r="C926">
        <f>Calculs!C926</f>
        <v>1.1804981431158783</v>
      </c>
      <c r="D926">
        <f t="shared" si="28"/>
        <v>-6.7542811569694958E-4</v>
      </c>
      <c r="E926">
        <f t="shared" si="29"/>
        <v>2.5967675069199969E-4</v>
      </c>
    </row>
    <row r="927" spans="1:5" x14ac:dyDescent="0.35">
      <c r="A927" s="1">
        <f>Calculs!A927</f>
        <v>45532</v>
      </c>
      <c r="B927">
        <f>Calculs!B927</f>
        <v>2501</v>
      </c>
      <c r="C927">
        <f>Calculs!C927</f>
        <v>1.188043551075018</v>
      </c>
      <c r="D927">
        <f t="shared" si="28"/>
        <v>-5.9796869427120756E-3</v>
      </c>
      <c r="E927">
        <f t="shared" si="29"/>
        <v>6.3713748444862465E-3</v>
      </c>
    </row>
    <row r="928" spans="1:5" x14ac:dyDescent="0.35">
      <c r="A928" s="1">
        <f>Calculs!A928</f>
        <v>45533</v>
      </c>
      <c r="B928">
        <f>Calculs!B928</f>
        <v>2525.699951171875</v>
      </c>
      <c r="C928">
        <f>Calculs!C928</f>
        <v>1.1879023996778113</v>
      </c>
      <c r="D928">
        <f t="shared" si="28"/>
        <v>9.8275808015969926E-3</v>
      </c>
      <c r="E928">
        <f t="shared" si="29"/>
        <v>-1.1881701040211302E-4</v>
      </c>
    </row>
    <row r="929" spans="1:5" x14ac:dyDescent="0.35">
      <c r="A929" s="1">
        <f>Calculs!A929</f>
        <v>45534</v>
      </c>
      <c r="B929">
        <f>Calculs!B929</f>
        <v>2493.800048828125</v>
      </c>
      <c r="C929">
        <f>Calculs!C929</f>
        <v>1.1807212110101171</v>
      </c>
      <c r="D929">
        <f t="shared" si="28"/>
        <v>-1.2710561536922458E-2</v>
      </c>
      <c r="E929">
        <f t="shared" si="29"/>
        <v>-6.0636148673813848E-3</v>
      </c>
    </row>
    <row r="930" spans="1:5" x14ac:dyDescent="0.35">
      <c r="A930" s="1">
        <f>Calculs!A930</f>
        <v>45538</v>
      </c>
      <c r="B930">
        <f>Calculs!B930</f>
        <v>2489.89990234375</v>
      </c>
      <c r="C930">
        <f>Calculs!C930</f>
        <v>1.1745774774990483</v>
      </c>
      <c r="D930">
        <f t="shared" si="28"/>
        <v>-1.5651613535240963E-3</v>
      </c>
      <c r="E930">
        <f t="shared" si="29"/>
        <v>-5.2169582357923959E-3</v>
      </c>
    </row>
    <row r="931" spans="1:5" x14ac:dyDescent="0.35">
      <c r="A931" s="1">
        <f>Calculs!A931</f>
        <v>45539</v>
      </c>
      <c r="B931">
        <f>Calculs!B931</f>
        <v>2493.39990234375</v>
      </c>
      <c r="C931">
        <f>Calculs!C931</f>
        <v>1.1765674981077472</v>
      </c>
      <c r="D931">
        <f t="shared" si="28"/>
        <v>1.4046919562063706E-3</v>
      </c>
      <c r="E931">
        <f t="shared" si="29"/>
        <v>1.6928101878561337E-3</v>
      </c>
    </row>
    <row r="932" spans="1:5" x14ac:dyDescent="0.35">
      <c r="A932" s="1">
        <f>Calculs!A932</f>
        <v>45540</v>
      </c>
      <c r="B932">
        <f>Calculs!B932</f>
        <v>2511.39990234375</v>
      </c>
      <c r="C932">
        <f>Calculs!C932</f>
        <v>1.181977196876808</v>
      </c>
      <c r="D932">
        <f t="shared" si="28"/>
        <v>7.1931259247034075E-3</v>
      </c>
      <c r="E932">
        <f t="shared" si="29"/>
        <v>4.5873273185592454E-3</v>
      </c>
    </row>
    <row r="933" spans="1:5" x14ac:dyDescent="0.35">
      <c r="A933" s="1">
        <f>Calculs!A933</f>
        <v>45541</v>
      </c>
      <c r="B933">
        <f>Calculs!B933</f>
        <v>2493.5</v>
      </c>
      <c r="C933">
        <f>Calculs!C933</f>
        <v>1.1851008806167334</v>
      </c>
      <c r="D933">
        <f t="shared" si="28"/>
        <v>-7.1529816835019886E-3</v>
      </c>
      <c r="E933">
        <f t="shared" si="29"/>
        <v>2.6392754703492612E-3</v>
      </c>
    </row>
    <row r="934" spans="1:5" x14ac:dyDescent="0.35">
      <c r="A934" s="1">
        <f>Calculs!A934</f>
        <v>45544</v>
      </c>
      <c r="B934">
        <f>Calculs!B934</f>
        <v>2501.800048828125</v>
      </c>
      <c r="C934">
        <f>Calculs!C934</f>
        <v>1.1849183315954472</v>
      </c>
      <c r="D934">
        <f t="shared" si="28"/>
        <v>3.3231463116611603E-3</v>
      </c>
      <c r="E934">
        <f t="shared" si="29"/>
        <v>-1.5404855851503695E-4</v>
      </c>
    </row>
    <row r="935" spans="1:5" x14ac:dyDescent="0.35">
      <c r="A935" s="1">
        <f>Calculs!A935</f>
        <v>45545</v>
      </c>
      <c r="B935">
        <f>Calculs!B935</f>
        <v>2512.300048828125</v>
      </c>
      <c r="C935">
        <f>Calculs!C935</f>
        <v>1.1772323376374232</v>
      </c>
      <c r="D935">
        <f t="shared" si="28"/>
        <v>4.1881953466630442E-3</v>
      </c>
      <c r="E935">
        <f t="shared" si="29"/>
        <v>-6.507646766929465E-3</v>
      </c>
    </row>
    <row r="936" spans="1:5" x14ac:dyDescent="0.35">
      <c r="A936" s="1">
        <f>Calculs!A936</f>
        <v>45546</v>
      </c>
      <c r="B936">
        <f>Calculs!B936</f>
        <v>2512.10009765625</v>
      </c>
      <c r="C936">
        <f>Calculs!C936</f>
        <v>1.1811674334851201</v>
      </c>
      <c r="D936">
        <f t="shared" si="28"/>
        <v>-7.9592057221238266E-5</v>
      </c>
      <c r="E936">
        <f t="shared" si="29"/>
        <v>3.3370928438090411E-3</v>
      </c>
    </row>
    <row r="937" spans="1:5" x14ac:dyDescent="0.35">
      <c r="A937" s="1">
        <f>Calculs!A937</f>
        <v>45547</v>
      </c>
      <c r="B937">
        <f>Calculs!B937</f>
        <v>2551.199951171875</v>
      </c>
      <c r="C937">
        <f>Calculs!C937</f>
        <v>1.1728829759314956</v>
      </c>
      <c r="D937">
        <f t="shared" si="28"/>
        <v>1.5444721969289848E-2</v>
      </c>
      <c r="E937">
        <f t="shared" si="29"/>
        <v>-7.0384998739116602E-3</v>
      </c>
    </row>
    <row r="938" spans="1:5" x14ac:dyDescent="0.35">
      <c r="A938" s="1">
        <f>Calculs!A938</f>
        <v>45548</v>
      </c>
      <c r="B938">
        <f>Calculs!B938</f>
        <v>2581.300048828125</v>
      </c>
      <c r="C938">
        <f>Calculs!C938</f>
        <v>1.1766367292206399</v>
      </c>
      <c r="D938">
        <f t="shared" si="28"/>
        <v>1.1729349341314652E-2</v>
      </c>
      <c r="E938">
        <f t="shared" si="29"/>
        <v>3.1953394345164187E-3</v>
      </c>
    </row>
    <row r="939" spans="1:5" x14ac:dyDescent="0.35">
      <c r="A939" s="1">
        <f>Calculs!A939</f>
        <v>45551</v>
      </c>
      <c r="B939">
        <f>Calculs!B939</f>
        <v>2580.39990234375</v>
      </c>
      <c r="C939">
        <f>Calculs!C939</f>
        <v>1.1796626167571107</v>
      </c>
      <c r="D939">
        <f t="shared" si="28"/>
        <v>-3.4877908519097121E-4</v>
      </c>
      <c r="E939">
        <f t="shared" si="29"/>
        <v>2.5683402280437615E-3</v>
      </c>
    </row>
    <row r="940" spans="1:5" x14ac:dyDescent="0.35">
      <c r="A940" s="1">
        <f>Calculs!A940</f>
        <v>45552</v>
      </c>
      <c r="B940">
        <f>Calculs!B940</f>
        <v>2564.300048828125</v>
      </c>
      <c r="C940">
        <f>Calculs!C940</f>
        <v>1.1840204673337849</v>
      </c>
      <c r="D940">
        <f t="shared" si="28"/>
        <v>-6.2588318949571399E-3</v>
      </c>
      <c r="E940">
        <f t="shared" si="29"/>
        <v>3.6873433191028687E-3</v>
      </c>
    </row>
    <row r="941" spans="1:5" x14ac:dyDescent="0.35">
      <c r="A941" s="1">
        <f>Calculs!A941</f>
        <v>45553</v>
      </c>
      <c r="B941">
        <f>Calculs!B941</f>
        <v>2570.699951171875</v>
      </c>
      <c r="C941">
        <f>Calculs!C941</f>
        <v>1.1815722180501935</v>
      </c>
      <c r="D941">
        <f t="shared" si="28"/>
        <v>2.4926604313492201E-3</v>
      </c>
      <c r="E941">
        <f t="shared" si="29"/>
        <v>-2.0698830976506495E-3</v>
      </c>
    </row>
    <row r="942" spans="1:5" x14ac:dyDescent="0.35">
      <c r="A942" s="1">
        <f>Calculs!A942</f>
        <v>45554</v>
      </c>
      <c r="B942">
        <f>Calculs!B942</f>
        <v>2588</v>
      </c>
      <c r="C942">
        <f>Calculs!C942</f>
        <v>1.1802195305281233</v>
      </c>
      <c r="D942">
        <f t="shared" si="28"/>
        <v>6.7071602717054171E-3</v>
      </c>
      <c r="E942">
        <f t="shared" si="29"/>
        <v>-1.1454758200347293E-3</v>
      </c>
    </row>
    <row r="943" spans="1:5" x14ac:dyDescent="0.35">
      <c r="A943" s="1">
        <f>Calculs!A943</f>
        <v>45555</v>
      </c>
      <c r="B943">
        <f>Calculs!B943</f>
        <v>2619.89990234375</v>
      </c>
      <c r="C943">
        <f>Calculs!C943</f>
        <v>1.1795513136532589</v>
      </c>
      <c r="D943">
        <f t="shared" si="28"/>
        <v>1.2250735192204589E-2</v>
      </c>
      <c r="E943">
        <f t="shared" si="29"/>
        <v>-5.6634049392757649E-4</v>
      </c>
    </row>
    <row r="944" spans="1:5" x14ac:dyDescent="0.35">
      <c r="A944" s="1">
        <f>Calculs!A944</f>
        <v>45558</v>
      </c>
      <c r="B944">
        <f>Calculs!B944</f>
        <v>2626.5</v>
      </c>
      <c r="C944">
        <f>Calculs!C944</f>
        <v>1.1752262388208017</v>
      </c>
      <c r="D944">
        <f t="shared" si="28"/>
        <v>2.516049581020544E-3</v>
      </c>
      <c r="E944">
        <f t="shared" si="29"/>
        <v>-3.6734507610243728E-3</v>
      </c>
    </row>
    <row r="945" spans="1:5" x14ac:dyDescent="0.35">
      <c r="A945" s="1">
        <f>Calculs!A945</f>
        <v>45559</v>
      </c>
      <c r="B945">
        <f>Calculs!B945</f>
        <v>2651.199951171875</v>
      </c>
      <c r="C945">
        <f>Calculs!C945</f>
        <v>1.1801916349921153</v>
      </c>
      <c r="D945">
        <f t="shared" si="28"/>
        <v>9.360187860914403E-3</v>
      </c>
      <c r="E945">
        <f t="shared" si="29"/>
        <v>4.2161550881545436E-3</v>
      </c>
    </row>
    <row r="946" spans="1:5" x14ac:dyDescent="0.35">
      <c r="A946" s="1">
        <f>Calculs!A946</f>
        <v>45560</v>
      </c>
      <c r="B946">
        <f>Calculs!B946</f>
        <v>2659.199951171875</v>
      </c>
      <c r="C946">
        <f>Calculs!C946</f>
        <v>1.1883400108866609</v>
      </c>
      <c r="D946">
        <f t="shared" si="28"/>
        <v>3.0129580442378738E-3</v>
      </c>
      <c r="E946">
        <f t="shared" si="29"/>
        <v>6.880556614423685E-3</v>
      </c>
    </row>
    <row r="947" spans="1:5" x14ac:dyDescent="0.35">
      <c r="A947" s="1">
        <f>Calculs!A947</f>
        <v>45561</v>
      </c>
      <c r="B947">
        <f>Calculs!B947</f>
        <v>2669.89990234375</v>
      </c>
      <c r="C947">
        <f>Calculs!C947</f>
        <v>1.1756821577165333</v>
      </c>
      <c r="D947">
        <f t="shared" si="28"/>
        <v>4.0156746334729662E-3</v>
      </c>
      <c r="E947">
        <f t="shared" si="29"/>
        <v>-1.0708845546569021E-2</v>
      </c>
    </row>
    <row r="948" spans="1:5" x14ac:dyDescent="0.35">
      <c r="A948" s="1">
        <f>Calculs!A948</f>
        <v>45562</v>
      </c>
      <c r="B948">
        <f>Calculs!B948</f>
        <v>2644.300048828125</v>
      </c>
      <c r="C948">
        <f>Calculs!C948</f>
        <v>1.1816978857832594</v>
      </c>
      <c r="D948">
        <f t="shared" si="28"/>
        <v>-9.6345834844363196E-3</v>
      </c>
      <c r="E948">
        <f t="shared" si="29"/>
        <v>5.1037516344377854E-3</v>
      </c>
    </row>
    <row r="949" spans="1:5" x14ac:dyDescent="0.35">
      <c r="A949" s="1">
        <f>Calculs!A949</f>
        <v>45565</v>
      </c>
      <c r="B949">
        <f>Calculs!B949</f>
        <v>2636.10009765625</v>
      </c>
      <c r="C949">
        <f>Calculs!C949</f>
        <v>1.189767999290843</v>
      </c>
      <c r="D949">
        <f t="shared" si="28"/>
        <v>-3.1058092325682647E-3</v>
      </c>
      <c r="E949">
        <f t="shared" si="29"/>
        <v>6.8060390077278581E-3</v>
      </c>
    </row>
    <row r="950" spans="1:5" x14ac:dyDescent="0.35">
      <c r="A950" s="1">
        <f>Calculs!A950</f>
        <v>45566</v>
      </c>
      <c r="B950">
        <f>Calculs!B950</f>
        <v>2667.300048828125</v>
      </c>
      <c r="C950">
        <f>Calculs!C950</f>
        <v>1.1829979915312057</v>
      </c>
      <c r="D950">
        <f t="shared" si="28"/>
        <v>1.1766153885765089E-2</v>
      </c>
      <c r="E950">
        <f t="shared" si="29"/>
        <v>-5.7064423184311095E-3</v>
      </c>
    </row>
    <row r="951" spans="1:5" x14ac:dyDescent="0.35">
      <c r="A951" s="1">
        <f>Calculs!A951</f>
        <v>45567</v>
      </c>
      <c r="B951">
        <f>Calculs!B951</f>
        <v>2647.10009765625</v>
      </c>
      <c r="C951">
        <f>Calculs!C951</f>
        <v>1.181558238126873</v>
      </c>
      <c r="D951">
        <f t="shared" si="28"/>
        <v>-7.602005078805537E-3</v>
      </c>
      <c r="E951">
        <f t="shared" si="29"/>
        <v>-1.2177791030739229E-3</v>
      </c>
    </row>
    <row r="952" spans="1:5" x14ac:dyDescent="0.35">
      <c r="A952" s="1">
        <f>Calculs!A952</f>
        <v>45568</v>
      </c>
      <c r="B952">
        <f>Calculs!B952</f>
        <v>2657.10009765625</v>
      </c>
      <c r="C952">
        <f>Calculs!C952</f>
        <v>1.1765951400661079</v>
      </c>
      <c r="D952">
        <f t="shared" si="28"/>
        <v>3.7706012139948329E-3</v>
      </c>
      <c r="E952">
        <f t="shared" si="29"/>
        <v>-4.2093151656815526E-3</v>
      </c>
    </row>
    <row r="953" spans="1:5" x14ac:dyDescent="0.35">
      <c r="A953" s="1">
        <f>Calculs!A953</f>
        <v>45569</v>
      </c>
      <c r="B953">
        <f>Calculs!B953</f>
        <v>2645.800048828125</v>
      </c>
      <c r="C953">
        <f>Calculs!C953</f>
        <v>1.1739707508221957</v>
      </c>
      <c r="D953">
        <f t="shared" si="28"/>
        <v>-4.2618437533547739E-3</v>
      </c>
      <c r="E953">
        <f t="shared" si="29"/>
        <v>-2.2329859754780233E-3</v>
      </c>
    </row>
    <row r="954" spans="1:5" x14ac:dyDescent="0.35">
      <c r="A954" s="1">
        <f>Calculs!A954</f>
        <v>45572</v>
      </c>
      <c r="B954">
        <f>Calculs!B954</f>
        <v>2644.800048828125</v>
      </c>
      <c r="C954">
        <f>Calculs!C954</f>
        <v>1.1645645957485089</v>
      </c>
      <c r="D954">
        <f t="shared" si="28"/>
        <v>-3.7802895454220627E-4</v>
      </c>
      <c r="E954">
        <f t="shared" si="29"/>
        <v>-8.0445273693056894E-3</v>
      </c>
    </row>
    <row r="955" spans="1:5" x14ac:dyDescent="0.35">
      <c r="A955" s="1">
        <f>Calculs!A955</f>
        <v>45573</v>
      </c>
      <c r="B955">
        <f>Calculs!B955</f>
        <v>2615</v>
      </c>
      <c r="C955">
        <f>Calculs!C955</f>
        <v>1.1701654817414477</v>
      </c>
      <c r="D955">
        <f t="shared" si="28"/>
        <v>-1.1331369029670978E-2</v>
      </c>
      <c r="E955">
        <f t="shared" si="29"/>
        <v>4.7978965887435854E-3</v>
      </c>
    </row>
    <row r="956" spans="1:5" x14ac:dyDescent="0.35">
      <c r="A956" s="1">
        <f>Calculs!A956</f>
        <v>45574</v>
      </c>
      <c r="B956">
        <f>Calculs!B956</f>
        <v>2606</v>
      </c>
      <c r="C956">
        <f>Calculs!C956</f>
        <v>1.1663167715054483</v>
      </c>
      <c r="D956">
        <f t="shared" si="28"/>
        <v>-3.4476188142327953E-3</v>
      </c>
      <c r="E956">
        <f t="shared" si="29"/>
        <v>-3.2944514871617444E-3</v>
      </c>
    </row>
    <row r="957" spans="1:5" x14ac:dyDescent="0.35">
      <c r="A957" s="1">
        <f>Calculs!A957</f>
        <v>45575</v>
      </c>
      <c r="B957">
        <f>Calculs!B957</f>
        <v>2620.60009765625</v>
      </c>
      <c r="C957">
        <f>Calculs!C957</f>
        <v>1.1621555702915658</v>
      </c>
      <c r="D957">
        <f t="shared" si="28"/>
        <v>5.5868577505378105E-3</v>
      </c>
      <c r="E957">
        <f t="shared" si="29"/>
        <v>-3.5741937484792701E-3</v>
      </c>
    </row>
    <row r="958" spans="1:5" x14ac:dyDescent="0.35">
      <c r="A958" s="1">
        <f>Calculs!A958</f>
        <v>45576</v>
      </c>
      <c r="B958">
        <f>Calculs!B958</f>
        <v>2657.60009765625</v>
      </c>
      <c r="C958">
        <f>Calculs!C958</f>
        <v>1.1674741992706739</v>
      </c>
      <c r="D958">
        <f t="shared" si="28"/>
        <v>1.4020160169731887E-2</v>
      </c>
      <c r="E958">
        <f t="shared" si="29"/>
        <v>4.5660802324123083E-3</v>
      </c>
    </row>
    <row r="959" spans="1:5" x14ac:dyDescent="0.35">
      <c r="A959" s="1">
        <f>Calculs!A959</f>
        <v>45579</v>
      </c>
      <c r="B959">
        <f>Calculs!B959</f>
        <v>2647.800048828125</v>
      </c>
      <c r="C959">
        <f>Calculs!C959</f>
        <v>1.1650938299225189</v>
      </c>
      <c r="D959">
        <f t="shared" si="28"/>
        <v>-3.6943716604866234E-3</v>
      </c>
      <c r="E959">
        <f t="shared" si="29"/>
        <v>-2.0409867105048163E-3</v>
      </c>
    </row>
    <row r="960" spans="1:5" x14ac:dyDescent="0.35">
      <c r="A960" s="1">
        <f>Calculs!A960</f>
        <v>45580</v>
      </c>
      <c r="B960">
        <f>Calculs!B960</f>
        <v>2661.39990234375</v>
      </c>
      <c r="C960">
        <f>Calculs!C960</f>
        <v>1.1599582345741783</v>
      </c>
      <c r="D960">
        <f t="shared" si="28"/>
        <v>5.1231384715043505E-3</v>
      </c>
      <c r="E960">
        <f t="shared" si="29"/>
        <v>-4.4176246878032703E-3</v>
      </c>
    </row>
    <row r="961" spans="1:5" x14ac:dyDescent="0.35">
      <c r="A961" s="1">
        <f>Calculs!A961</f>
        <v>45581</v>
      </c>
      <c r="B961">
        <f>Calculs!B961</f>
        <v>2674</v>
      </c>
      <c r="C961">
        <f>Calculs!C961</f>
        <v>1.1593665132105408</v>
      </c>
      <c r="D961">
        <f t="shared" si="28"/>
        <v>4.7232152458107166E-3</v>
      </c>
      <c r="E961">
        <f t="shared" si="29"/>
        <v>-5.1025314763785117E-4</v>
      </c>
    </row>
    <row r="962" spans="1:5" x14ac:dyDescent="0.35">
      <c r="A962" s="1">
        <f>Calculs!A962</f>
        <v>45582</v>
      </c>
      <c r="B962">
        <f>Calculs!B962</f>
        <v>2691</v>
      </c>
      <c r="C962">
        <f>Calculs!C962</f>
        <v>1.1556685546407481</v>
      </c>
      <c r="D962">
        <f t="shared" si="28"/>
        <v>6.337393065017404E-3</v>
      </c>
      <c r="E962">
        <f t="shared" si="29"/>
        <v>-3.194734944935745E-3</v>
      </c>
    </row>
    <row r="963" spans="1:5" x14ac:dyDescent="0.35">
      <c r="A963" s="1">
        <f>Calculs!A963</f>
        <v>45583</v>
      </c>
      <c r="B963">
        <f>Calculs!B963</f>
        <v>2713.699951171875</v>
      </c>
      <c r="C963">
        <f>Calculs!C963</f>
        <v>1.1548277296882996</v>
      </c>
      <c r="D963">
        <f t="shared" si="28"/>
        <v>8.4001276135835298E-3</v>
      </c>
      <c r="E963">
        <f t="shared" si="29"/>
        <v>-7.2783063558198955E-4</v>
      </c>
    </row>
    <row r="964" spans="1:5" x14ac:dyDescent="0.35">
      <c r="A964" s="1">
        <f>Calculs!A964</f>
        <v>45586</v>
      </c>
      <c r="B964">
        <f>Calculs!B964</f>
        <v>2723.10009765625</v>
      </c>
      <c r="C964">
        <f>Calculs!C964</f>
        <v>1.1561629611283541</v>
      </c>
      <c r="D964">
        <f t="shared" ref="D964:D1027" si="30">LN(B964/B963)</f>
        <v>3.4579737223619676E-3</v>
      </c>
      <c r="E964">
        <f t="shared" ref="E964:E1027" si="31">LN(C964/C963)</f>
        <v>1.1555490845874226E-3</v>
      </c>
    </row>
    <row r="965" spans="1:5" x14ac:dyDescent="0.35">
      <c r="A965" s="1">
        <f>Calculs!A965</f>
        <v>45587</v>
      </c>
      <c r="B965">
        <f>Calculs!B965</f>
        <v>2744.199951171875</v>
      </c>
      <c r="C965">
        <f>Calculs!C965</f>
        <v>1.1555216999318831</v>
      </c>
      <c r="D965">
        <f t="shared" si="30"/>
        <v>7.7186026310139128E-3</v>
      </c>
      <c r="E965">
        <f t="shared" si="31"/>
        <v>-5.5479990305028117E-4</v>
      </c>
    </row>
    <row r="966" spans="1:5" x14ac:dyDescent="0.35">
      <c r="A966" s="1">
        <f>Calculs!A966</f>
        <v>45588</v>
      </c>
      <c r="B966">
        <f>Calculs!B966</f>
        <v>2714.39990234375</v>
      </c>
      <c r="C966">
        <f>Calculs!C966</f>
        <v>1.1553614360922635</v>
      </c>
      <c r="D966">
        <f t="shared" si="30"/>
        <v>-1.0918677200949221E-2</v>
      </c>
      <c r="E966">
        <f t="shared" si="31"/>
        <v>-1.3870354357456798E-4</v>
      </c>
    </row>
    <row r="967" spans="1:5" x14ac:dyDescent="0.35">
      <c r="A967" s="1">
        <f>Calculs!A967</f>
        <v>45589</v>
      </c>
      <c r="B967">
        <f>Calculs!B967</f>
        <v>2734.89990234375</v>
      </c>
      <c r="C967">
        <f>Calculs!C967</f>
        <v>1.1537485445089373</v>
      </c>
      <c r="D967">
        <f t="shared" si="30"/>
        <v>7.5239379159915531E-3</v>
      </c>
      <c r="E967">
        <f t="shared" si="31"/>
        <v>-1.3969813990500188E-3</v>
      </c>
    </row>
    <row r="968" spans="1:5" x14ac:dyDescent="0.35">
      <c r="A968" s="1">
        <f>Calculs!A968</f>
        <v>45590</v>
      </c>
      <c r="B968">
        <f>Calculs!B968</f>
        <v>2740.89990234375</v>
      </c>
      <c r="C968">
        <f>Calculs!C968</f>
        <v>1.1549077820383828</v>
      </c>
      <c r="D968">
        <f t="shared" si="30"/>
        <v>2.1914615637027659E-3</v>
      </c>
      <c r="E968">
        <f t="shared" si="31"/>
        <v>1.004253091759062E-3</v>
      </c>
    </row>
    <row r="969" spans="1:5" x14ac:dyDescent="0.35">
      <c r="A969" s="1">
        <f>Calculs!A969</f>
        <v>45593</v>
      </c>
      <c r="B969">
        <f>Calculs!B969</f>
        <v>2742.89990234375</v>
      </c>
      <c r="C969">
        <f>Calculs!C969</f>
        <v>1.1514635107030096</v>
      </c>
      <c r="D969">
        <f t="shared" si="30"/>
        <v>7.2942126259476002E-4</v>
      </c>
      <c r="E969">
        <f t="shared" si="31"/>
        <v>-2.9867471093170577E-3</v>
      </c>
    </row>
    <row r="970" spans="1:5" x14ac:dyDescent="0.35">
      <c r="A970" s="1">
        <f>Calculs!A970</f>
        <v>45594</v>
      </c>
      <c r="B970">
        <f>Calculs!B970</f>
        <v>2768.39990234375</v>
      </c>
      <c r="C970">
        <f>Calculs!C970</f>
        <v>1.1562565063143253</v>
      </c>
      <c r="D970">
        <f t="shared" si="30"/>
        <v>9.2537814571629334E-3</v>
      </c>
      <c r="E970">
        <f t="shared" si="31"/>
        <v>4.1538856254697719E-3</v>
      </c>
    </row>
    <row r="971" spans="1:5" x14ac:dyDescent="0.35">
      <c r="A971" s="1">
        <f>Calculs!A971</f>
        <v>45595</v>
      </c>
      <c r="B971">
        <f>Calculs!B971</f>
        <v>2788.5</v>
      </c>
      <c r="C971">
        <f>Calculs!C971</f>
        <v>1.1531099580694562</v>
      </c>
      <c r="D971">
        <f t="shared" si="30"/>
        <v>7.2343161372402948E-3</v>
      </c>
      <c r="E971">
        <f t="shared" si="31"/>
        <v>-2.7250332422633855E-3</v>
      </c>
    </row>
    <row r="972" spans="1:5" x14ac:dyDescent="0.35">
      <c r="A972" s="1">
        <f>Calculs!A972</f>
        <v>45596</v>
      </c>
      <c r="B972">
        <f>Calculs!B972</f>
        <v>2738.300048828125</v>
      </c>
      <c r="C972">
        <f>Calculs!C972</f>
        <v>1.1543345436821622</v>
      </c>
      <c r="D972">
        <f t="shared" si="30"/>
        <v>-1.8166509123427009E-2</v>
      </c>
      <c r="E972">
        <f t="shared" si="31"/>
        <v>1.0614216088370733E-3</v>
      </c>
    </row>
    <row r="973" spans="1:5" x14ac:dyDescent="0.35">
      <c r="A973" s="1">
        <f>Calculs!A973</f>
        <v>45597</v>
      </c>
      <c r="B973">
        <f>Calculs!B973</f>
        <v>2738.60009765625</v>
      </c>
      <c r="C973">
        <f>Calculs!C973</f>
        <v>1.1580239562992221</v>
      </c>
      <c r="D973">
        <f t="shared" si="30"/>
        <v>1.095688511384859E-4</v>
      </c>
      <c r="E973">
        <f t="shared" si="31"/>
        <v>3.1910413093684024E-3</v>
      </c>
    </row>
    <row r="974" spans="1:5" x14ac:dyDescent="0.35">
      <c r="A974" s="1">
        <f>Calculs!A974</f>
        <v>45600</v>
      </c>
      <c r="B974">
        <f>Calculs!B974</f>
        <v>2736.10009765625</v>
      </c>
      <c r="C974">
        <f>Calculs!C974</f>
        <v>1.1526048554975563</v>
      </c>
      <c r="D974">
        <f t="shared" si="30"/>
        <v>-9.1329208343201608E-4</v>
      </c>
      <c r="E974">
        <f t="shared" si="31"/>
        <v>-4.6905939281705984E-3</v>
      </c>
    </row>
    <row r="975" spans="1:5" x14ac:dyDescent="0.35">
      <c r="A975" s="1">
        <f>Calculs!A975</f>
        <v>45601</v>
      </c>
      <c r="B975">
        <f>Calculs!B975</f>
        <v>2740.300048828125</v>
      </c>
      <c r="C975">
        <f>Calculs!C975</f>
        <v>1.1571797016864038</v>
      </c>
      <c r="D975">
        <f t="shared" si="30"/>
        <v>1.5338367843668287E-3</v>
      </c>
      <c r="E975">
        <f t="shared" si="31"/>
        <v>3.9612804206287057E-3</v>
      </c>
    </row>
    <row r="976" spans="1:5" x14ac:dyDescent="0.35">
      <c r="A976" s="1">
        <f>Calculs!A976</f>
        <v>45602</v>
      </c>
      <c r="B976">
        <f>Calculs!B976</f>
        <v>2667.60009765625</v>
      </c>
      <c r="C976">
        <f>Calculs!C976</f>
        <v>1.1595412734912593</v>
      </c>
      <c r="D976">
        <f t="shared" si="30"/>
        <v>-2.688819289182318E-2</v>
      </c>
      <c r="E976">
        <f t="shared" si="31"/>
        <v>2.0387199391934379E-3</v>
      </c>
    </row>
    <row r="977" spans="1:5" x14ac:dyDescent="0.35">
      <c r="A977" s="1">
        <f>Calculs!A977</f>
        <v>45603</v>
      </c>
      <c r="B977">
        <f>Calculs!B977</f>
        <v>2698.39990234375</v>
      </c>
      <c r="C977">
        <f>Calculs!C977</f>
        <v>1.141943591966353</v>
      </c>
      <c r="D977">
        <f t="shared" si="30"/>
        <v>1.1479740190580862E-2</v>
      </c>
      <c r="E977">
        <f t="shared" si="31"/>
        <v>-1.5292757080025657E-2</v>
      </c>
    </row>
    <row r="978" spans="1:5" x14ac:dyDescent="0.35">
      <c r="A978" s="1">
        <f>Calculs!A978</f>
        <v>45604</v>
      </c>
      <c r="B978">
        <f>Calculs!B978</f>
        <v>2687.5</v>
      </c>
      <c r="C978">
        <f>Calculs!C978</f>
        <v>1.1457640772586208</v>
      </c>
      <c r="D978">
        <f t="shared" si="30"/>
        <v>-4.0475751210939112E-3</v>
      </c>
      <c r="E978">
        <f t="shared" si="31"/>
        <v>3.3400148938117873E-3</v>
      </c>
    </row>
    <row r="979" spans="1:5" x14ac:dyDescent="0.35">
      <c r="A979" s="1">
        <f>Calculs!A979</f>
        <v>45607</v>
      </c>
      <c r="B979">
        <f>Calculs!B979</f>
        <v>2611.199951171875</v>
      </c>
      <c r="C979">
        <f>Calculs!C979</f>
        <v>1.1415525281929633</v>
      </c>
      <c r="D979">
        <f t="shared" si="30"/>
        <v>-2.8801526365626901E-2</v>
      </c>
      <c r="E979">
        <f t="shared" si="31"/>
        <v>-3.682528089923988E-3</v>
      </c>
    </row>
    <row r="980" spans="1:5" x14ac:dyDescent="0.35">
      <c r="A980" s="1">
        <f>Calculs!A980</f>
        <v>45608</v>
      </c>
      <c r="B980">
        <f>Calculs!B980</f>
        <v>2600</v>
      </c>
      <c r="C980">
        <f>Calculs!C980</f>
        <v>1.1360150807666056</v>
      </c>
      <c r="D980">
        <f t="shared" si="30"/>
        <v>-4.2984220607178896E-3</v>
      </c>
      <c r="E980">
        <f t="shared" si="31"/>
        <v>-4.8626072092218574E-3</v>
      </c>
    </row>
    <row r="981" spans="1:5" x14ac:dyDescent="0.35">
      <c r="A981" s="1">
        <f>Calculs!A981</f>
        <v>45609</v>
      </c>
      <c r="B981">
        <f>Calculs!B981</f>
        <v>2580.800048828125</v>
      </c>
      <c r="C981">
        <f>Calculs!C981</f>
        <v>1.1335811995373843</v>
      </c>
      <c r="D981">
        <f t="shared" si="30"/>
        <v>-7.4119977188659798E-3</v>
      </c>
      <c r="E981">
        <f t="shared" si="31"/>
        <v>-2.1447710179466001E-3</v>
      </c>
    </row>
    <row r="982" spans="1:5" x14ac:dyDescent="0.35">
      <c r="A982" s="1">
        <f>Calculs!A982</f>
        <v>45610</v>
      </c>
      <c r="B982">
        <f>Calculs!B982</f>
        <v>2568.199951171875</v>
      </c>
      <c r="C982">
        <f>Calculs!C982</f>
        <v>1.1289612136126328</v>
      </c>
      <c r="D982">
        <f t="shared" si="30"/>
        <v>-4.8942019061207313E-3</v>
      </c>
      <c r="E982">
        <f t="shared" si="31"/>
        <v>-4.0838945771655899E-3</v>
      </c>
    </row>
    <row r="983" spans="1:5" x14ac:dyDescent="0.35">
      <c r="A983" s="1">
        <f>Calculs!A983</f>
        <v>45611</v>
      </c>
      <c r="B983">
        <f>Calculs!B983</f>
        <v>2565.699951171875</v>
      </c>
      <c r="C983">
        <f>Calculs!C983</f>
        <v>1.1230403108513067</v>
      </c>
      <c r="D983">
        <f t="shared" si="30"/>
        <v>-9.7391855905345874E-4</v>
      </c>
      <c r="E983">
        <f t="shared" si="31"/>
        <v>-5.2583591440011745E-3</v>
      </c>
    </row>
    <row r="984" spans="1:5" x14ac:dyDescent="0.35">
      <c r="A984" s="1">
        <f>Calculs!A984</f>
        <v>45614</v>
      </c>
      <c r="B984">
        <f>Calculs!B984</f>
        <v>2610.60009765625</v>
      </c>
      <c r="C984">
        <f>Calculs!C984</f>
        <v>1.1252770649728638</v>
      </c>
      <c r="D984">
        <f t="shared" si="30"/>
        <v>1.7348790536743833E-2</v>
      </c>
      <c r="E984">
        <f t="shared" si="31"/>
        <v>1.9897145158812744E-3</v>
      </c>
    </row>
    <row r="985" spans="1:5" x14ac:dyDescent="0.35">
      <c r="A985" s="1">
        <f>Calculs!A985</f>
        <v>45615</v>
      </c>
      <c r="B985">
        <f>Calculs!B985</f>
        <v>2627.10009765625</v>
      </c>
      <c r="C985">
        <f>Calculs!C985</f>
        <v>1.1322463898933413</v>
      </c>
      <c r="D985">
        <f t="shared" si="30"/>
        <v>6.3004960066535718E-3</v>
      </c>
      <c r="E985">
        <f t="shared" si="31"/>
        <v>6.1743297027777042E-3</v>
      </c>
    </row>
    <row r="986" spans="1:5" x14ac:dyDescent="0.35">
      <c r="A986" s="1">
        <f>Calculs!A986</f>
        <v>45616</v>
      </c>
      <c r="B986">
        <f>Calculs!B986</f>
        <v>2648.199951171875</v>
      </c>
      <c r="C986">
        <f>Calculs!C986</f>
        <v>1.1336968657810607</v>
      </c>
      <c r="D986">
        <f t="shared" si="30"/>
        <v>7.9995320984941332E-3</v>
      </c>
      <c r="E986">
        <f t="shared" si="31"/>
        <v>1.2802404316169169E-3</v>
      </c>
    </row>
    <row r="987" spans="1:5" x14ac:dyDescent="0.35">
      <c r="A987" s="1">
        <f>Calculs!A987</f>
        <v>45617</v>
      </c>
      <c r="B987">
        <f>Calculs!B987</f>
        <v>2672.10009765625</v>
      </c>
      <c r="C987">
        <f>Calculs!C987</f>
        <v>1.131669772529682</v>
      </c>
      <c r="D987">
        <f t="shared" si="30"/>
        <v>8.9845711851382487E-3</v>
      </c>
      <c r="E987">
        <f t="shared" si="31"/>
        <v>-1.7896386025375672E-3</v>
      </c>
    </row>
    <row r="988" spans="1:5" x14ac:dyDescent="0.35">
      <c r="A988" s="1">
        <f>Calculs!A988</f>
        <v>45618</v>
      </c>
      <c r="B988">
        <f>Calculs!B988</f>
        <v>2709.89990234375</v>
      </c>
      <c r="C988">
        <f>Calculs!C988</f>
        <v>1.1275228225168052</v>
      </c>
      <c r="D988">
        <f t="shared" si="30"/>
        <v>1.4046981134497769E-2</v>
      </c>
      <c r="E988">
        <f t="shared" si="31"/>
        <v>-3.6711829522995828E-3</v>
      </c>
    </row>
    <row r="989" spans="1:5" x14ac:dyDescent="0.35">
      <c r="A989" s="1">
        <f>Calculs!A989</f>
        <v>45621</v>
      </c>
      <c r="B989">
        <f>Calculs!B989</f>
        <v>2616.800048828125</v>
      </c>
      <c r="C989">
        <f>Calculs!C989</f>
        <v>1.1230024241599914</v>
      </c>
      <c r="D989">
        <f t="shared" si="30"/>
        <v>-3.4959481903407377E-2</v>
      </c>
      <c r="E989">
        <f t="shared" si="31"/>
        <v>-4.0171994894337183E-3</v>
      </c>
    </row>
    <row r="990" spans="1:5" x14ac:dyDescent="0.35">
      <c r="A990" s="1">
        <f>Calculs!A990</f>
        <v>45622</v>
      </c>
      <c r="B990">
        <f>Calculs!B990</f>
        <v>2620.300048828125</v>
      </c>
      <c r="C990">
        <f>Calculs!C990</f>
        <v>1.1251124796215561</v>
      </c>
      <c r="D990">
        <f t="shared" si="30"/>
        <v>1.336617767776714E-3</v>
      </c>
      <c r="E990">
        <f t="shared" si="31"/>
        <v>1.8771781439042179E-3</v>
      </c>
    </row>
    <row r="991" spans="1:5" x14ac:dyDescent="0.35">
      <c r="A991" s="1">
        <f>Calculs!A991</f>
        <v>45623</v>
      </c>
      <c r="B991">
        <f>Calculs!B991</f>
        <v>2639.89990234375</v>
      </c>
      <c r="C991">
        <f>Calculs!C991</f>
        <v>1.1283243425663469</v>
      </c>
      <c r="D991">
        <f t="shared" si="30"/>
        <v>7.4521669912282042E-3</v>
      </c>
      <c r="E991">
        <f t="shared" si="31"/>
        <v>2.8506369365826918E-3</v>
      </c>
    </row>
    <row r="992" spans="1:5" x14ac:dyDescent="0.35">
      <c r="A992" s="1">
        <f>Calculs!A992</f>
        <v>45625</v>
      </c>
      <c r="B992">
        <f>Calculs!B992</f>
        <v>2657</v>
      </c>
      <c r="C992">
        <f>Calculs!C992</f>
        <v>1.1333499378411802</v>
      </c>
      <c r="D992">
        <f t="shared" si="30"/>
        <v>6.4566661171555654E-3</v>
      </c>
      <c r="E992">
        <f t="shared" si="31"/>
        <v>4.4441444020779167E-3</v>
      </c>
    </row>
    <row r="993" spans="1:5" x14ac:dyDescent="0.35">
      <c r="A993" s="1">
        <f>Calculs!A993</f>
        <v>45628</v>
      </c>
      <c r="B993">
        <f>Calculs!B993</f>
        <v>2634.89990234375</v>
      </c>
      <c r="C993">
        <f>Calculs!C993</f>
        <v>1.1337521794393646</v>
      </c>
      <c r="D993">
        <f t="shared" si="30"/>
        <v>-8.3524732312347631E-3</v>
      </c>
      <c r="E993">
        <f t="shared" si="31"/>
        <v>3.5485089034081033E-4</v>
      </c>
    </row>
    <row r="994" spans="1:5" x14ac:dyDescent="0.35">
      <c r="A994" s="1">
        <f>Calculs!A994</f>
        <v>45629</v>
      </c>
      <c r="B994">
        <f>Calculs!B994</f>
        <v>2644.699951171875</v>
      </c>
      <c r="C994">
        <f>Calculs!C994</f>
        <v>1.128311594262841</v>
      </c>
      <c r="D994">
        <f t="shared" si="30"/>
        <v>3.7124253183831268E-3</v>
      </c>
      <c r="E994">
        <f t="shared" si="31"/>
        <v>-4.8102937950243625E-3</v>
      </c>
    </row>
    <row r="995" spans="1:5" x14ac:dyDescent="0.35">
      <c r="A995" s="1">
        <f>Calculs!A995</f>
        <v>45630</v>
      </c>
      <c r="B995">
        <f>Calculs!B995</f>
        <v>2653.800048828125</v>
      </c>
      <c r="C995">
        <f>Calculs!C995</f>
        <v>1.1281588646713634</v>
      </c>
      <c r="D995">
        <f t="shared" si="30"/>
        <v>3.4349746546976641E-3</v>
      </c>
      <c r="E995">
        <f t="shared" si="31"/>
        <v>-1.3537034451844383E-4</v>
      </c>
    </row>
    <row r="996" spans="1:5" x14ac:dyDescent="0.35">
      <c r="A996" s="1">
        <f>Calculs!A996</f>
        <v>45631</v>
      </c>
      <c r="B996">
        <f>Calculs!B996</f>
        <v>2626.60009765625</v>
      </c>
      <c r="C996">
        <f>Calculs!C996</f>
        <v>1.1315416981270148</v>
      </c>
      <c r="D996">
        <f t="shared" si="30"/>
        <v>-1.0302322170881693E-2</v>
      </c>
      <c r="E996">
        <f t="shared" si="31"/>
        <v>2.9940568572896092E-3</v>
      </c>
    </row>
    <row r="997" spans="1:5" x14ac:dyDescent="0.35">
      <c r="A997" s="1">
        <f>Calculs!A997</f>
        <v>45632</v>
      </c>
      <c r="B997">
        <f>Calculs!B997</f>
        <v>2638.60009765625</v>
      </c>
      <c r="C997">
        <f>Calculs!C997</f>
        <v>1.1384076015362774</v>
      </c>
      <c r="D997">
        <f t="shared" si="30"/>
        <v>4.5582391295282557E-3</v>
      </c>
      <c r="E997">
        <f t="shared" si="31"/>
        <v>6.0494076661567198E-3</v>
      </c>
    </row>
    <row r="998" spans="1:5" x14ac:dyDescent="0.35">
      <c r="A998" s="1">
        <f>Calculs!A998</f>
        <v>45635</v>
      </c>
      <c r="B998">
        <f>Calculs!B998</f>
        <v>2664.89990234375</v>
      </c>
      <c r="C998">
        <f>Calculs!C998</f>
        <v>1.1380837242216535</v>
      </c>
      <c r="D998">
        <f t="shared" si="30"/>
        <v>9.9179863380868399E-3</v>
      </c>
      <c r="E998">
        <f t="shared" si="31"/>
        <v>-2.8454078708271043E-4</v>
      </c>
    </row>
    <row r="999" spans="1:5" x14ac:dyDescent="0.35">
      <c r="A999" s="1">
        <f>Calculs!A999</f>
        <v>45636</v>
      </c>
      <c r="B999">
        <f>Calculs!B999</f>
        <v>2697.60009765625</v>
      </c>
      <c r="C999">
        <f>Calculs!C999</f>
        <v>1.1381873387328638</v>
      </c>
      <c r="D999">
        <f t="shared" si="30"/>
        <v>1.2196028210303023E-2</v>
      </c>
      <c r="E999">
        <f t="shared" si="31"/>
        <v>9.1038816042687476E-5</v>
      </c>
    </row>
    <row r="1000" spans="1:5" x14ac:dyDescent="0.35">
      <c r="A1000" s="1">
        <f>Calculs!A1000</f>
        <v>45637</v>
      </c>
      <c r="B1000">
        <f>Calculs!B1000</f>
        <v>2733.800048828125</v>
      </c>
      <c r="C1000">
        <f>Calculs!C1000</f>
        <v>1.133144485104681</v>
      </c>
      <c r="D1000">
        <f t="shared" si="30"/>
        <v>1.3330075570755336E-2</v>
      </c>
      <c r="E1000">
        <f t="shared" si="31"/>
        <v>-4.4404449066540929E-3</v>
      </c>
    </row>
    <row r="1001" spans="1:5" x14ac:dyDescent="0.35">
      <c r="A1001" s="1">
        <f>Calculs!A1001</f>
        <v>45638</v>
      </c>
      <c r="B1001">
        <f>Calculs!B1001</f>
        <v>2687.5</v>
      </c>
      <c r="C1001">
        <f>Calculs!C1001</f>
        <v>1.1322335528102847</v>
      </c>
      <c r="D1001">
        <f t="shared" si="30"/>
        <v>-1.7081207143532985E-2</v>
      </c>
      <c r="E1001">
        <f t="shared" si="31"/>
        <v>-8.0422104235796765E-4</v>
      </c>
    </row>
    <row r="1002" spans="1:5" x14ac:dyDescent="0.35">
      <c r="A1002" s="1">
        <f>Calculs!A1002</f>
        <v>45639</v>
      </c>
      <c r="B1002">
        <f>Calculs!B1002</f>
        <v>2656</v>
      </c>
      <c r="C1002">
        <f>Calculs!C1002</f>
        <v>1.1210636984776396</v>
      </c>
      <c r="D1002">
        <f t="shared" si="30"/>
        <v>-1.1790161839593786E-2</v>
      </c>
      <c r="E1002">
        <f t="shared" si="31"/>
        <v>-9.9143118555333476E-3</v>
      </c>
    </row>
    <row r="1003" spans="1:5" x14ac:dyDescent="0.35">
      <c r="A1003" s="1">
        <f>Calculs!A1003</f>
        <v>45642</v>
      </c>
      <c r="B1003">
        <f>Calculs!B1003</f>
        <v>2651.39990234375</v>
      </c>
      <c r="C1003">
        <f>Calculs!C1003</f>
        <v>1.1213980472672183</v>
      </c>
      <c r="D1003">
        <f t="shared" si="30"/>
        <v>-1.7334660635325901E-3</v>
      </c>
      <c r="E1003">
        <f t="shared" si="31"/>
        <v>2.9819798950028216E-4</v>
      </c>
    </row>
    <row r="1004" spans="1:5" x14ac:dyDescent="0.35">
      <c r="A1004" s="1">
        <f>Calculs!A1004</f>
        <v>45643</v>
      </c>
      <c r="B1004">
        <f>Calculs!B1004</f>
        <v>2644.39990234375</v>
      </c>
      <c r="C1004">
        <f>Calculs!C1004</f>
        <v>1.1185182014709556</v>
      </c>
      <c r="D1004">
        <f t="shared" si="30"/>
        <v>-2.6436060028242501E-3</v>
      </c>
      <c r="E1004">
        <f t="shared" si="31"/>
        <v>-2.571388447839561E-3</v>
      </c>
    </row>
    <row r="1005" spans="1:5" x14ac:dyDescent="0.35">
      <c r="A1005" s="1">
        <f>Calculs!A1005</f>
        <v>45644</v>
      </c>
      <c r="B1005">
        <f>Calculs!B1005</f>
        <v>2636.5</v>
      </c>
      <c r="C1005">
        <f>Calculs!C1005</f>
        <v>1.120473268137415</v>
      </c>
      <c r="D1005">
        <f t="shared" si="30"/>
        <v>-2.9918795594432402E-3</v>
      </c>
      <c r="E1005">
        <f t="shared" si="31"/>
        <v>1.7463819669574067E-3</v>
      </c>
    </row>
    <row r="1006" spans="1:5" x14ac:dyDescent="0.35">
      <c r="A1006" s="1">
        <f>Calculs!A1006</f>
        <v>45645</v>
      </c>
      <c r="B1006">
        <f>Calculs!B1006</f>
        <v>2592.199951171875</v>
      </c>
      <c r="C1006">
        <f>Calculs!C1006</f>
        <v>1.1090162781424875</v>
      </c>
      <c r="D1006">
        <f t="shared" si="30"/>
        <v>-1.6945362817807692E-2</v>
      </c>
      <c r="E1006">
        <f t="shared" si="31"/>
        <v>-1.0277770412936151E-2</v>
      </c>
    </row>
    <row r="1007" spans="1:5" x14ac:dyDescent="0.35">
      <c r="A1007" s="1">
        <f>Calculs!A1007</f>
        <v>45646</v>
      </c>
      <c r="B1007">
        <f>Calculs!B1007</f>
        <v>2628.699951171875</v>
      </c>
      <c r="C1007">
        <f>Calculs!C1007</f>
        <v>1.1123594559513781</v>
      </c>
      <c r="D1007">
        <f t="shared" si="30"/>
        <v>1.398249166131256E-2</v>
      </c>
      <c r="E1007">
        <f t="shared" si="31"/>
        <v>3.010008871278092E-3</v>
      </c>
    </row>
    <row r="1008" spans="1:5" x14ac:dyDescent="0.35">
      <c r="A1008" s="1">
        <f>Calculs!A1008</f>
        <v>45649</v>
      </c>
      <c r="B1008">
        <f>Calculs!B1008</f>
        <v>2612.300048828125</v>
      </c>
      <c r="C1008">
        <f>Calculs!C1008</f>
        <v>1.1197581134698085</v>
      </c>
      <c r="D1008">
        <f t="shared" si="30"/>
        <v>-6.2583308037495577E-3</v>
      </c>
      <c r="E1008">
        <f t="shared" si="31"/>
        <v>6.6292965172218953E-3</v>
      </c>
    </row>
    <row r="1009" spans="1:5" x14ac:dyDescent="0.35">
      <c r="A1009" s="1">
        <f>Calculs!A1009</f>
        <v>45650</v>
      </c>
      <c r="B1009">
        <f>Calculs!B1009</f>
        <v>2620</v>
      </c>
      <c r="C1009">
        <f>Calculs!C1009</f>
        <v>1.1130032357414259</v>
      </c>
      <c r="D1009">
        <f t="shared" si="30"/>
        <v>2.9432397448627299E-3</v>
      </c>
      <c r="E1009">
        <f t="shared" si="31"/>
        <v>-6.0507123516741704E-3</v>
      </c>
    </row>
    <row r="1010" spans="1:5" x14ac:dyDescent="0.35">
      <c r="A1010" s="1">
        <f>Calculs!A1010</f>
        <v>45652</v>
      </c>
      <c r="B1010">
        <f>Calculs!B1010</f>
        <v>2638.800048828125</v>
      </c>
      <c r="C1010">
        <f>Calculs!C1010</f>
        <v>1.1118275938576641</v>
      </c>
      <c r="D1010">
        <f t="shared" si="30"/>
        <v>7.1499690974858952E-3</v>
      </c>
      <c r="E1010">
        <f t="shared" si="31"/>
        <v>-1.0568372008733895E-3</v>
      </c>
    </row>
    <row r="1011" spans="1:5" x14ac:dyDescent="0.35">
      <c r="A1011" s="1">
        <f>Calculs!A1011</f>
        <v>45653</v>
      </c>
      <c r="B1011">
        <f>Calculs!B1011</f>
        <v>2617.199951171875</v>
      </c>
      <c r="C1011">
        <f>Calculs!C1011</f>
        <v>1.1124708317510486</v>
      </c>
      <c r="D1011">
        <f t="shared" si="30"/>
        <v>-8.219261513672152E-3</v>
      </c>
      <c r="E1011">
        <f t="shared" si="31"/>
        <v>5.7837375049124139E-4</v>
      </c>
    </row>
    <row r="1012" spans="1:5" x14ac:dyDescent="0.35">
      <c r="A1012" s="1">
        <f>Calculs!A1012</f>
        <v>45656</v>
      </c>
      <c r="B1012">
        <f>Calculs!B1012</f>
        <v>2606.10009765625</v>
      </c>
      <c r="C1012">
        <f>Calculs!C1012</f>
        <v>1.1088441758572365</v>
      </c>
      <c r="D1012">
        <f t="shared" si="30"/>
        <v>-4.2501369327917057E-3</v>
      </c>
      <c r="E1012">
        <f t="shared" si="31"/>
        <v>-3.2653262628496694E-3</v>
      </c>
    </row>
    <row r="1013" spans="1:5" x14ac:dyDescent="0.35">
      <c r="A1013" s="1">
        <f>Calculs!A1013</f>
        <v>45657</v>
      </c>
      <c r="B1013">
        <f>Calculs!B1013</f>
        <v>2629.199951171875</v>
      </c>
      <c r="C1013">
        <f>Calculs!C1013</f>
        <v>1.1071254287605932</v>
      </c>
      <c r="D1013">
        <f t="shared" si="30"/>
        <v>8.8247104117804686E-3</v>
      </c>
      <c r="E1013">
        <f t="shared" si="31"/>
        <v>-1.5512373795369193E-3</v>
      </c>
    </row>
    <row r="1014" spans="1:5" x14ac:dyDescent="0.35">
      <c r="A1014" s="1">
        <f>Calculs!A1014</f>
        <v>45659</v>
      </c>
      <c r="B1014">
        <f>Calculs!B1014</f>
        <v>2658.89990234375</v>
      </c>
      <c r="C1014">
        <f>Calculs!C1014</f>
        <v>1.1016248839917324</v>
      </c>
      <c r="D1014">
        <f t="shared" si="30"/>
        <v>1.1232867866452192E-2</v>
      </c>
      <c r="E1014">
        <f t="shared" si="31"/>
        <v>-4.9806952902269469E-3</v>
      </c>
    </row>
    <row r="1015" spans="1:5" x14ac:dyDescent="0.35">
      <c r="A1015" s="1">
        <f>Calculs!A1015</f>
        <v>45660</v>
      </c>
      <c r="B1015">
        <f>Calculs!B1015</f>
        <v>2645</v>
      </c>
      <c r="C1015">
        <f>Calculs!C1015</f>
        <v>1.0964791883714184</v>
      </c>
      <c r="D1015">
        <f t="shared" si="30"/>
        <v>-5.2414013919973483E-3</v>
      </c>
      <c r="E1015">
        <f t="shared" si="31"/>
        <v>-4.6819484889305653E-3</v>
      </c>
    </row>
    <row r="1016" spans="1:5" x14ac:dyDescent="0.35">
      <c r="A1016" s="1">
        <f>Calculs!A1016</f>
        <v>45663</v>
      </c>
      <c r="B1016">
        <f>Calculs!B1016</f>
        <v>2638.39990234375</v>
      </c>
      <c r="C1016">
        <f>Calculs!C1016</f>
        <v>1.0997349841272339</v>
      </c>
      <c r="D1016">
        <f t="shared" si="30"/>
        <v>-2.4984295005021796E-3</v>
      </c>
      <c r="E1016">
        <f t="shared" si="31"/>
        <v>2.9649186146384712E-3</v>
      </c>
    </row>
    <row r="1017" spans="1:5" x14ac:dyDescent="0.35">
      <c r="A1017" s="1">
        <f>Calculs!A1017</f>
        <v>45664</v>
      </c>
      <c r="B1017">
        <f>Calculs!B1017</f>
        <v>2656.699951171875</v>
      </c>
      <c r="C1017">
        <f>Calculs!C1017</f>
        <v>1.10492350790158</v>
      </c>
      <c r="D1017">
        <f t="shared" si="30"/>
        <v>6.9120969177432941E-3</v>
      </c>
      <c r="E1017">
        <f t="shared" si="31"/>
        <v>4.7068816982765282E-3</v>
      </c>
    </row>
    <row r="1018" spans="1:5" x14ac:dyDescent="0.35">
      <c r="A1018" s="1">
        <f>Calculs!A1018</f>
        <v>45665</v>
      </c>
      <c r="B1018">
        <f>Calculs!B1018</f>
        <v>2664.5</v>
      </c>
      <c r="C1018">
        <f>Calculs!C1018</f>
        <v>1.0995656781320327</v>
      </c>
      <c r="D1018">
        <f t="shared" si="30"/>
        <v>2.9316900271960217E-3</v>
      </c>
      <c r="E1018">
        <f t="shared" si="31"/>
        <v>-4.8608451817064935E-3</v>
      </c>
    </row>
    <row r="1019" spans="1:5" x14ac:dyDescent="0.35">
      <c r="A1019" s="1">
        <f>Calculs!A1019</f>
        <v>45666</v>
      </c>
      <c r="B1019">
        <f>Calculs!B1019</f>
        <v>2683.800048828125</v>
      </c>
      <c r="C1019">
        <f>Calculs!C1019</f>
        <v>1.097755084748258</v>
      </c>
      <c r="D1019">
        <f t="shared" si="30"/>
        <v>7.2172961236729553E-3</v>
      </c>
      <c r="E1019">
        <f t="shared" si="31"/>
        <v>-1.6480013515961529E-3</v>
      </c>
    </row>
    <row r="1020" spans="1:5" x14ac:dyDescent="0.35">
      <c r="A1020" s="1">
        <f>Calculs!A1020</f>
        <v>45667</v>
      </c>
      <c r="B1020">
        <f>Calculs!B1020</f>
        <v>2708.5</v>
      </c>
      <c r="C1020">
        <f>Calculs!C1020</f>
        <v>1.0964071024725861</v>
      </c>
      <c r="D1020">
        <f t="shared" si="30"/>
        <v>9.1612572374435413E-3</v>
      </c>
      <c r="E1020">
        <f t="shared" si="31"/>
        <v>-1.2286990023894061E-3</v>
      </c>
    </row>
    <row r="1021" spans="1:5" x14ac:dyDescent="0.35">
      <c r="A1021" s="1">
        <f>Calculs!A1021</f>
        <v>45670</v>
      </c>
      <c r="B1021">
        <f>Calculs!B1021</f>
        <v>2673.5</v>
      </c>
      <c r="C1021">
        <f>Calculs!C1021</f>
        <v>1.0907861517128314</v>
      </c>
      <c r="D1021">
        <f t="shared" si="30"/>
        <v>-1.3006500709167285E-2</v>
      </c>
      <c r="E1021">
        <f t="shared" si="31"/>
        <v>-5.1398870435628349E-3</v>
      </c>
    </row>
    <row r="1022" spans="1:5" x14ac:dyDescent="0.35">
      <c r="A1022" s="1">
        <f>Calculs!A1022</f>
        <v>45671</v>
      </c>
      <c r="B1022">
        <f>Calculs!B1022</f>
        <v>2677.5</v>
      </c>
      <c r="C1022">
        <f>Calculs!C1022</f>
        <v>1.0919653098340893</v>
      </c>
      <c r="D1022">
        <f t="shared" si="30"/>
        <v>1.495047933117684E-3</v>
      </c>
      <c r="E1022">
        <f t="shared" si="31"/>
        <v>1.080432890997293E-3</v>
      </c>
    </row>
    <row r="1023" spans="1:5" x14ac:dyDescent="0.35">
      <c r="A1023" s="1">
        <f>Calculs!A1023</f>
        <v>45672</v>
      </c>
      <c r="B1023">
        <f>Calculs!B1023</f>
        <v>2712.5</v>
      </c>
      <c r="C1023">
        <f>Calculs!C1023</f>
        <v>1.0959384171147881</v>
      </c>
      <c r="D1023">
        <f t="shared" si="30"/>
        <v>1.2987195526811112E-2</v>
      </c>
      <c r="E1023">
        <f t="shared" si="31"/>
        <v>3.6318889163829138E-3</v>
      </c>
    </row>
    <row r="1024" spans="1:5" x14ac:dyDescent="0.35">
      <c r="A1024" s="1">
        <f>Calculs!A1024</f>
        <v>45673</v>
      </c>
      <c r="B1024">
        <f>Calculs!B1024</f>
        <v>2746.39990234375</v>
      </c>
      <c r="C1024">
        <f>Calculs!C1024</f>
        <v>1.0963469903679279</v>
      </c>
      <c r="D1024">
        <f t="shared" si="30"/>
        <v>1.2420208736854522E-2</v>
      </c>
      <c r="E1024">
        <f t="shared" si="31"/>
        <v>3.7273728728537099E-4</v>
      </c>
    </row>
    <row r="1025" spans="1:5" x14ac:dyDescent="0.35">
      <c r="A1025" s="1">
        <f>Calculs!A1025</f>
        <v>45674</v>
      </c>
      <c r="B1025">
        <f>Calculs!B1025</f>
        <v>2744.300048828125</v>
      </c>
      <c r="C1025">
        <f>Calculs!C1025</f>
        <v>1.0974900332938746</v>
      </c>
      <c r="D1025">
        <f t="shared" si="30"/>
        <v>-7.6487647719702099E-4</v>
      </c>
      <c r="E1025">
        <f t="shared" si="31"/>
        <v>1.0420491741646597E-3</v>
      </c>
    </row>
    <row r="1026" spans="1:5" x14ac:dyDescent="0.35">
      <c r="A1026" s="1">
        <f>Calculs!A1026</f>
        <v>45678</v>
      </c>
      <c r="B1026">
        <f>Calculs!B1026</f>
        <v>2755</v>
      </c>
      <c r="C1026">
        <f>Calculs!C1026</f>
        <v>1.1036796918972784</v>
      </c>
      <c r="D1026">
        <f t="shared" si="30"/>
        <v>3.8913914786424851E-3</v>
      </c>
      <c r="E1026">
        <f t="shared" si="31"/>
        <v>5.6239869620855259E-3</v>
      </c>
    </row>
    <row r="1027" spans="1:5" x14ac:dyDescent="0.35">
      <c r="A1027" s="1">
        <f>Calculs!A1027</f>
        <v>45679</v>
      </c>
      <c r="B1027">
        <f>Calculs!B1027</f>
        <v>2767.60009765625</v>
      </c>
      <c r="C1027">
        <f>Calculs!C1027</f>
        <v>1.1028884300427226</v>
      </c>
      <c r="D1027">
        <f t="shared" si="30"/>
        <v>4.5631113231767526E-3</v>
      </c>
      <c r="E1027">
        <f t="shared" si="31"/>
        <v>-7.1718781813644996E-4</v>
      </c>
    </row>
    <row r="1028" spans="1:5" x14ac:dyDescent="0.35">
      <c r="A1028" s="1">
        <f>Calculs!A1028</f>
        <v>45680</v>
      </c>
      <c r="B1028">
        <f>Calculs!B1028</f>
        <v>2763.10009765625</v>
      </c>
      <c r="C1028">
        <f>Calculs!C1028</f>
        <v>1.1033751981784843</v>
      </c>
      <c r="D1028">
        <f t="shared" ref="D1028:D1091" si="32">LN(B1028/B1027)</f>
        <v>-1.6272807543716752E-3</v>
      </c>
      <c r="E1028">
        <f t="shared" ref="E1028:E1091" si="33">LN(C1028/C1027)</f>
        <v>4.4126018072669035E-4</v>
      </c>
    </row>
    <row r="1029" spans="1:5" x14ac:dyDescent="0.35">
      <c r="A1029" s="1">
        <f>Calculs!A1029</f>
        <v>45681</v>
      </c>
      <c r="B1029">
        <f>Calculs!B1029</f>
        <v>2777.300048828125</v>
      </c>
      <c r="C1029">
        <f>Calculs!C1029</f>
        <v>1.10194049900047</v>
      </c>
      <c r="D1029">
        <f t="shared" si="32"/>
        <v>5.1259771457510843E-3</v>
      </c>
      <c r="E1029">
        <f t="shared" si="33"/>
        <v>-1.3011283438955836E-3</v>
      </c>
    </row>
    <row r="1030" spans="1:5" x14ac:dyDescent="0.35">
      <c r="A1030" s="1">
        <f>Calculs!A1030</f>
        <v>45684</v>
      </c>
      <c r="B1030">
        <f>Calculs!B1030</f>
        <v>2737.5</v>
      </c>
      <c r="C1030">
        <f>Calculs!C1030</f>
        <v>1.1027303282954908</v>
      </c>
      <c r="D1030">
        <f t="shared" si="32"/>
        <v>-1.4434155176814617E-2</v>
      </c>
      <c r="E1030">
        <f t="shared" si="33"/>
        <v>7.165054474638548E-4</v>
      </c>
    </row>
    <row r="1031" spans="1:5" x14ac:dyDescent="0.35">
      <c r="A1031" s="1">
        <f>Calculs!A1031</f>
        <v>45685</v>
      </c>
      <c r="B1031">
        <f>Calculs!B1031</f>
        <v>2766.800048828125</v>
      </c>
      <c r="C1031">
        <f>Calculs!C1031</f>
        <v>1.1061824563712341</v>
      </c>
      <c r="D1031">
        <f t="shared" si="32"/>
        <v>1.0646340249542608E-2</v>
      </c>
      <c r="E1031">
        <f t="shared" si="33"/>
        <v>3.1256380154095469E-3</v>
      </c>
    </row>
    <row r="1032" spans="1:5" x14ac:dyDescent="0.35">
      <c r="A1032" s="1">
        <f>Calculs!A1032</f>
        <v>45686</v>
      </c>
      <c r="B1032">
        <f>Calculs!B1032</f>
        <v>2769.10009765625</v>
      </c>
      <c r="C1032">
        <f>Calculs!C1032</f>
        <v>1.1060356584944449</v>
      </c>
      <c r="D1032">
        <f t="shared" si="32"/>
        <v>8.3095753160667405E-4</v>
      </c>
      <c r="E1032">
        <f t="shared" si="33"/>
        <v>-1.3271555459955396E-4</v>
      </c>
    </row>
    <row r="1033" spans="1:5" x14ac:dyDescent="0.35">
      <c r="A1033" s="1">
        <f>Calculs!A1033</f>
        <v>45687</v>
      </c>
      <c r="B1033">
        <f>Calculs!B1033</f>
        <v>2823</v>
      </c>
      <c r="C1033">
        <f>Calculs!C1033</f>
        <v>1.1034238913682413</v>
      </c>
      <c r="D1033">
        <f t="shared" si="32"/>
        <v>1.9277756347583747E-2</v>
      </c>
      <c r="E1033">
        <f t="shared" si="33"/>
        <v>-2.3641694122538059E-3</v>
      </c>
    </row>
    <row r="1034" spans="1:5" x14ac:dyDescent="0.35">
      <c r="A1034" s="1">
        <f>Calculs!A1034</f>
        <v>45688</v>
      </c>
      <c r="B1034">
        <f>Calculs!B1034</f>
        <v>2812.5</v>
      </c>
      <c r="C1034">
        <f>Calculs!C1034</f>
        <v>1.0996636227540986</v>
      </c>
      <c r="D1034">
        <f t="shared" si="32"/>
        <v>-3.7263817408137866E-3</v>
      </c>
      <c r="E1034">
        <f t="shared" si="33"/>
        <v>-3.4136385790844662E-3</v>
      </c>
    </row>
    <row r="1035" spans="1:5" x14ac:dyDescent="0.35">
      <c r="A1035" s="1">
        <f>Calculs!A1035</f>
        <v>45691</v>
      </c>
      <c r="B1035">
        <f>Calculs!B1035</f>
        <v>2833.89990234375</v>
      </c>
      <c r="C1035">
        <f>Calculs!C1035</f>
        <v>1.0926215552694818</v>
      </c>
      <c r="D1035">
        <f t="shared" si="32"/>
        <v>7.5800528402683734E-3</v>
      </c>
      <c r="E1035">
        <f t="shared" si="33"/>
        <v>-6.424430339607665E-3</v>
      </c>
    </row>
    <row r="1036" spans="1:5" x14ac:dyDescent="0.35">
      <c r="A1036" s="1">
        <f>Calculs!A1036</f>
        <v>45692</v>
      </c>
      <c r="B1036">
        <f>Calculs!B1036</f>
        <v>2853.300048828125</v>
      </c>
      <c r="C1036">
        <f>Calculs!C1036</f>
        <v>1.096960314177629</v>
      </c>
      <c r="D1036">
        <f t="shared" si="32"/>
        <v>6.8224159163659407E-3</v>
      </c>
      <c r="E1036">
        <f t="shared" si="33"/>
        <v>3.9630987518255245E-3</v>
      </c>
    </row>
    <row r="1037" spans="1:5" x14ac:dyDescent="0.35">
      <c r="A1037" s="1">
        <f>Calculs!A1037</f>
        <v>45693</v>
      </c>
      <c r="B1037">
        <f>Calculs!B1037</f>
        <v>2871.60009765625</v>
      </c>
      <c r="C1037">
        <f>Calculs!C1037</f>
        <v>1.1046794228929271</v>
      </c>
      <c r="D1037">
        <f t="shared" si="32"/>
        <v>6.393163440626415E-3</v>
      </c>
      <c r="E1037">
        <f t="shared" si="33"/>
        <v>7.0121738945044558E-3</v>
      </c>
    </row>
    <row r="1038" spans="1:5" x14ac:dyDescent="0.35">
      <c r="A1038" s="1">
        <f>Calculs!A1038</f>
        <v>45694</v>
      </c>
      <c r="B1038">
        <f>Calculs!B1038</f>
        <v>2856</v>
      </c>
      <c r="C1038">
        <f>Calculs!C1038</f>
        <v>1.1094715658339267</v>
      </c>
      <c r="D1038">
        <f t="shared" si="32"/>
        <v>-5.4473552504613887E-3</v>
      </c>
      <c r="E1038">
        <f t="shared" si="33"/>
        <v>4.3286573029909072E-3</v>
      </c>
    </row>
    <row r="1039" spans="1:5" x14ac:dyDescent="0.35">
      <c r="A1039" s="1">
        <f>Calculs!A1039</f>
        <v>45695</v>
      </c>
      <c r="B1039">
        <f>Calculs!B1039</f>
        <v>2867.300048828125</v>
      </c>
      <c r="C1039">
        <f>Calculs!C1039</f>
        <v>1.1048503074535507</v>
      </c>
      <c r="D1039">
        <f t="shared" si="32"/>
        <v>3.9487929743871704E-3</v>
      </c>
      <c r="E1039">
        <f t="shared" si="33"/>
        <v>-4.1739777269550089E-3</v>
      </c>
    </row>
    <row r="1040" spans="1:5" x14ac:dyDescent="0.35">
      <c r="A1040" s="1">
        <f>Calculs!A1040</f>
        <v>45698</v>
      </c>
      <c r="B1040">
        <f>Calculs!B1040</f>
        <v>2914.300048828125</v>
      </c>
      <c r="C1040">
        <f>Calculs!C1040</f>
        <v>1.0980081915317348</v>
      </c>
      <c r="D1040">
        <f t="shared" si="32"/>
        <v>1.6258833046568513E-2</v>
      </c>
      <c r="E1040">
        <f t="shared" si="33"/>
        <v>-6.2120539542944268E-3</v>
      </c>
    </row>
    <row r="1041" spans="1:5" x14ac:dyDescent="0.35">
      <c r="A1041" s="1">
        <f>Calculs!A1041</f>
        <v>45699</v>
      </c>
      <c r="B1041">
        <f>Calculs!B1041</f>
        <v>2912.5</v>
      </c>
      <c r="C1041">
        <f>Calculs!C1041</f>
        <v>1.0972973750750512</v>
      </c>
      <c r="D1041">
        <f t="shared" si="32"/>
        <v>-6.1785160647469034E-4</v>
      </c>
      <c r="E1041">
        <f t="shared" si="33"/>
        <v>-6.4757862626189401E-4</v>
      </c>
    </row>
    <row r="1042" spans="1:5" x14ac:dyDescent="0.35">
      <c r="A1042" s="1">
        <f>Calculs!A1042</f>
        <v>45700</v>
      </c>
      <c r="B1042">
        <f>Calculs!B1042</f>
        <v>2909</v>
      </c>
      <c r="C1042">
        <f>Calculs!C1042</f>
        <v>1.0953022798210927</v>
      </c>
      <c r="D1042">
        <f t="shared" si="32"/>
        <v>-1.2024393787544148E-3</v>
      </c>
      <c r="E1042">
        <f t="shared" si="33"/>
        <v>-1.8198450411339763E-3</v>
      </c>
    </row>
    <row r="1043" spans="1:5" x14ac:dyDescent="0.35">
      <c r="A1043" s="1">
        <f>Calculs!A1043</f>
        <v>45701</v>
      </c>
      <c r="B1043">
        <f>Calculs!B1043</f>
        <v>2925.89990234375</v>
      </c>
      <c r="C1043">
        <f>Calculs!C1043</f>
        <v>1.0948106045107808</v>
      </c>
      <c r="D1043">
        <f t="shared" si="32"/>
        <v>5.7927127743943657E-3</v>
      </c>
      <c r="E1043">
        <f t="shared" si="33"/>
        <v>-4.4899541214468719E-4</v>
      </c>
    </row>
    <row r="1044" spans="1:5" x14ac:dyDescent="0.35">
      <c r="A1044" s="1">
        <f>Calculs!A1044</f>
        <v>45702</v>
      </c>
      <c r="B1044">
        <f>Calculs!B1044</f>
        <v>2883.60009765625</v>
      </c>
      <c r="C1044">
        <f>Calculs!C1044</f>
        <v>1.1071132280411402</v>
      </c>
      <c r="D1044">
        <f t="shared" si="32"/>
        <v>-1.4562544873085503E-2</v>
      </c>
      <c r="E1044">
        <f t="shared" si="33"/>
        <v>1.1174547791161414E-2</v>
      </c>
    </row>
    <row r="1045" spans="1:5" x14ac:dyDescent="0.35">
      <c r="A1045" s="1">
        <f>Calculs!A1045</f>
        <v>45706</v>
      </c>
      <c r="B1045">
        <f>Calculs!B1045</f>
        <v>2931.60009765625</v>
      </c>
      <c r="C1045">
        <f>Calculs!C1045</f>
        <v>1.1102229324357609</v>
      </c>
      <c r="D1045">
        <f t="shared" si="32"/>
        <v>1.6508834966771479E-2</v>
      </c>
      <c r="E1045">
        <f t="shared" si="33"/>
        <v>2.804903008253336E-3</v>
      </c>
    </row>
    <row r="1046" spans="1:5" x14ac:dyDescent="0.35">
      <c r="A1046" s="1">
        <f>Calculs!A1046</f>
        <v>45707</v>
      </c>
      <c r="B1046">
        <f>Calculs!B1046</f>
        <v>2919.39990234375</v>
      </c>
      <c r="C1046">
        <f>Calculs!C1046</f>
        <v>1.1066844011817498</v>
      </c>
      <c r="D1046">
        <f t="shared" si="32"/>
        <v>-4.1703001175996731E-3</v>
      </c>
      <c r="E1046">
        <f t="shared" si="33"/>
        <v>-3.1923158946827656E-3</v>
      </c>
    </row>
    <row r="1047" spans="1:5" x14ac:dyDescent="0.35">
      <c r="A1047" s="1">
        <f>Calculs!A1047</f>
        <v>45708</v>
      </c>
      <c r="B1047">
        <f>Calculs!B1047</f>
        <v>2940</v>
      </c>
      <c r="C1047">
        <f>Calculs!C1047</f>
        <v>1.1055098250863089</v>
      </c>
      <c r="D1047">
        <f t="shared" si="32"/>
        <v>7.0314990870447855E-3</v>
      </c>
      <c r="E1047">
        <f t="shared" si="33"/>
        <v>-1.0619105608992302E-3</v>
      </c>
    </row>
    <row r="1048" spans="1:5" x14ac:dyDescent="0.35">
      <c r="A1048" s="1">
        <f>Calculs!A1048</f>
        <v>45709</v>
      </c>
      <c r="B1048">
        <f>Calculs!B1048</f>
        <v>2937.60009765625</v>
      </c>
      <c r="C1048">
        <f>Calculs!C1048</f>
        <v>1.1135113171898727</v>
      </c>
      <c r="D1048">
        <f t="shared" si="32"/>
        <v>-8.1662666300731808E-4</v>
      </c>
      <c r="E1048">
        <f t="shared" si="33"/>
        <v>7.2117625475219454E-3</v>
      </c>
    </row>
    <row r="1049" spans="1:5" x14ac:dyDescent="0.35">
      <c r="A1049" s="1">
        <f>Calculs!A1049</f>
        <v>45712</v>
      </c>
      <c r="B1049">
        <f>Calculs!B1049</f>
        <v>2947.89990234375</v>
      </c>
      <c r="C1049">
        <f>Calculs!C1049</f>
        <v>1.1130279716243552</v>
      </c>
      <c r="D1049">
        <f t="shared" si="32"/>
        <v>3.5000646341924579E-3</v>
      </c>
      <c r="E1049">
        <f t="shared" si="33"/>
        <v>-4.3416756716430815E-4</v>
      </c>
    </row>
    <row r="1050" spans="1:5" x14ac:dyDescent="0.35">
      <c r="A1050" s="1">
        <f>Calculs!A1050</f>
        <v>45713</v>
      </c>
      <c r="B1050">
        <f>Calculs!B1050</f>
        <v>2904.5</v>
      </c>
      <c r="C1050">
        <f>Calculs!C1050</f>
        <v>1.1144544683754616</v>
      </c>
      <c r="D1050">
        <f t="shared" si="32"/>
        <v>-1.4831760871325241E-2</v>
      </c>
      <c r="E1050">
        <f t="shared" si="33"/>
        <v>1.280815435850719E-3</v>
      </c>
    </row>
    <row r="1051" spans="1:5" x14ac:dyDescent="0.35">
      <c r="A1051" s="1">
        <f>Calculs!A1051</f>
        <v>45714</v>
      </c>
      <c r="B1051">
        <f>Calculs!B1051</f>
        <v>2916.800048828125</v>
      </c>
      <c r="C1051">
        <f>Calculs!C1051</f>
        <v>1.1205737007002676</v>
      </c>
      <c r="D1051">
        <f t="shared" si="32"/>
        <v>4.2258832321174136E-3</v>
      </c>
      <c r="E1051">
        <f t="shared" si="33"/>
        <v>5.4757677772513452E-3</v>
      </c>
    </row>
    <row r="1052" spans="1:5" x14ac:dyDescent="0.35">
      <c r="A1052" s="1">
        <f>Calculs!A1052</f>
        <v>45715</v>
      </c>
      <c r="B1052">
        <f>Calculs!B1052</f>
        <v>2883.199951171875</v>
      </c>
      <c r="C1052">
        <f>Calculs!C1052</f>
        <v>1.1181930201446775</v>
      </c>
      <c r="D1052">
        <f t="shared" si="32"/>
        <v>-1.1586370186078948E-2</v>
      </c>
      <c r="E1052">
        <f t="shared" si="33"/>
        <v>-2.1267793832915058E-3</v>
      </c>
    </row>
    <row r="1053" spans="1:5" x14ac:dyDescent="0.35">
      <c r="A1053" s="1">
        <f>Calculs!A1053</f>
        <v>45716</v>
      </c>
      <c r="B1053">
        <f>Calculs!B1053</f>
        <v>2836.800048828125</v>
      </c>
      <c r="C1053">
        <f>Calculs!C1053</f>
        <v>1.1112099017151238</v>
      </c>
      <c r="D1053">
        <f t="shared" si="32"/>
        <v>-1.6224097946286358E-2</v>
      </c>
      <c r="E1053">
        <f t="shared" si="33"/>
        <v>-6.2645842963457926E-3</v>
      </c>
    </row>
    <row r="1054" spans="1:5" x14ac:dyDescent="0.35">
      <c r="A1054" s="1">
        <f>Calculs!A1054</f>
        <v>45719</v>
      </c>
      <c r="B1054">
        <f>Calculs!B1054</f>
        <v>2890.199951171875</v>
      </c>
      <c r="C1054">
        <f>Calculs!C1054</f>
        <v>1.1079472946939406</v>
      </c>
      <c r="D1054">
        <f t="shared" si="32"/>
        <v>1.864901343751476E-2</v>
      </c>
      <c r="E1054">
        <f t="shared" si="33"/>
        <v>-2.9404040210977583E-3</v>
      </c>
    </row>
    <row r="1055" spans="1:5" x14ac:dyDescent="0.35">
      <c r="A1055" s="1">
        <f>Calculs!A1055</f>
        <v>45720</v>
      </c>
      <c r="B1055">
        <f>Calculs!B1055</f>
        <v>2909.60009765625</v>
      </c>
      <c r="C1055">
        <f>Calculs!C1055</f>
        <v>1.1153245494816935</v>
      </c>
      <c r="D1055">
        <f t="shared" si="32"/>
        <v>6.6899612663868704E-3</v>
      </c>
      <c r="E1055">
        <f t="shared" si="33"/>
        <v>6.6364190981412982E-3</v>
      </c>
    </row>
    <row r="1056" spans="1:5" x14ac:dyDescent="0.35">
      <c r="A1056" s="1">
        <f>Calculs!A1056</f>
        <v>45721</v>
      </c>
      <c r="B1056">
        <f>Calculs!B1056</f>
        <v>2915.300048828125</v>
      </c>
      <c r="C1056">
        <f>Calculs!C1056</f>
        <v>1.1240502109049355</v>
      </c>
      <c r="D1056">
        <f t="shared" si="32"/>
        <v>1.9570989537602982E-3</v>
      </c>
      <c r="E1056">
        <f t="shared" si="33"/>
        <v>7.7929837712759041E-3</v>
      </c>
    </row>
    <row r="1057" spans="1:5" x14ac:dyDescent="0.35">
      <c r="A1057" s="1">
        <f>Calculs!A1057</f>
        <v>45722</v>
      </c>
      <c r="B1057">
        <f>Calculs!B1057</f>
        <v>2916.60009765625</v>
      </c>
      <c r="C1057">
        <f>Calculs!C1057</f>
        <v>1.1227250421744221</v>
      </c>
      <c r="D1057">
        <f t="shared" si="32"/>
        <v>4.4584057237097519E-4</v>
      </c>
      <c r="E1057">
        <f t="shared" si="33"/>
        <v>-1.1796185509534327E-3</v>
      </c>
    </row>
    <row r="1058" spans="1:5" x14ac:dyDescent="0.35">
      <c r="A1058" s="1">
        <f>Calculs!A1058</f>
        <v>45723</v>
      </c>
      <c r="B1058">
        <f>Calculs!B1058</f>
        <v>2904.699951171875</v>
      </c>
      <c r="C1058">
        <f>Calculs!C1058</f>
        <v>1.1320925932798682</v>
      </c>
      <c r="D1058">
        <f t="shared" si="32"/>
        <v>-4.0884898428904092E-3</v>
      </c>
      <c r="E1058">
        <f t="shared" si="33"/>
        <v>8.3089690730881894E-3</v>
      </c>
    </row>
    <row r="1059" spans="1:5" x14ac:dyDescent="0.35">
      <c r="A1059" s="1">
        <f>Calculs!A1059</f>
        <v>45726</v>
      </c>
      <c r="B1059">
        <f>Calculs!B1059</f>
        <v>2891</v>
      </c>
      <c r="C1059">
        <f>Calculs!C1059</f>
        <v>1.1398089436586181</v>
      </c>
      <c r="D1059">
        <f t="shared" si="32"/>
        <v>-4.7276349031359147E-3</v>
      </c>
      <c r="E1059">
        <f t="shared" si="33"/>
        <v>6.7928824596717383E-3</v>
      </c>
    </row>
    <row r="1060" spans="1:5" x14ac:dyDescent="0.35">
      <c r="A1060" s="1">
        <f>Calculs!A1060</f>
        <v>45727</v>
      </c>
      <c r="B1060">
        <f>Calculs!B1060</f>
        <v>2912.89990234375</v>
      </c>
      <c r="C1060">
        <f>Calculs!C1060</f>
        <v>1.1363894276571151</v>
      </c>
      <c r="D1060">
        <f t="shared" si="32"/>
        <v>7.5466519578201406E-3</v>
      </c>
      <c r="E1060">
        <f t="shared" si="33"/>
        <v>-3.0045874885784806E-3</v>
      </c>
    </row>
    <row r="1061" spans="1:5" x14ac:dyDescent="0.35">
      <c r="A1061" s="1">
        <f>Calculs!A1061</f>
        <v>45728</v>
      </c>
      <c r="B1061">
        <f>Calculs!B1061</f>
        <v>2939.10009765625</v>
      </c>
      <c r="C1061">
        <f>Calculs!C1061</f>
        <v>1.1319387620715191</v>
      </c>
      <c r="D1061">
        <f t="shared" si="32"/>
        <v>8.9543302711225983E-3</v>
      </c>
      <c r="E1061">
        <f t="shared" si="33"/>
        <v>-3.9241863828639529E-3</v>
      </c>
    </row>
    <row r="1062" spans="1:5" x14ac:dyDescent="0.35">
      <c r="A1062" s="1">
        <f>Calculs!A1062</f>
        <v>45729</v>
      </c>
      <c r="B1062">
        <f>Calculs!B1062</f>
        <v>2984.300048828125</v>
      </c>
      <c r="C1062">
        <f>Calculs!C1062</f>
        <v>1.1340825649065822</v>
      </c>
      <c r="D1062">
        <f t="shared" si="32"/>
        <v>1.5261784579635519E-2</v>
      </c>
      <c r="E1062">
        <f t="shared" si="33"/>
        <v>1.8921300070178133E-3</v>
      </c>
    </row>
    <row r="1063" spans="1:5" x14ac:dyDescent="0.35">
      <c r="A1063" s="1">
        <f>Calculs!A1063</f>
        <v>45730</v>
      </c>
      <c r="B1063">
        <f>Calculs!B1063</f>
        <v>2994.5</v>
      </c>
      <c r="C1063">
        <f>Calculs!C1063</f>
        <v>1.1329904444288073</v>
      </c>
      <c r="D1063">
        <f t="shared" si="32"/>
        <v>3.4120428795928219E-3</v>
      </c>
      <c r="E1063">
        <f t="shared" si="33"/>
        <v>-9.6346307133371792E-4</v>
      </c>
    </row>
    <row r="1064" spans="1:5" x14ac:dyDescent="0.35">
      <c r="A1064" s="1">
        <f>Calculs!A1064</f>
        <v>45733</v>
      </c>
      <c r="B1064">
        <f>Calculs!B1064</f>
        <v>3000</v>
      </c>
      <c r="C1064">
        <f>Calculs!C1064</f>
        <v>1.1311065534230786</v>
      </c>
      <c r="D1064">
        <f t="shared" si="32"/>
        <v>1.8350159457296321E-3</v>
      </c>
      <c r="E1064">
        <f t="shared" si="33"/>
        <v>-1.6641437555745908E-3</v>
      </c>
    </row>
    <row r="1065" spans="1:5" x14ac:dyDescent="0.35">
      <c r="A1065" s="1">
        <f>Calculs!A1065</f>
        <v>45734</v>
      </c>
      <c r="B1065">
        <f>Calculs!B1065</f>
        <v>3035.10009765625</v>
      </c>
      <c r="C1065">
        <f>Calculs!C1065</f>
        <v>1.1348136067114192</v>
      </c>
      <c r="D1065">
        <f t="shared" si="32"/>
        <v>1.1632116405335577E-2</v>
      </c>
      <c r="E1065">
        <f t="shared" si="33"/>
        <v>3.2720098976871791E-3</v>
      </c>
    </row>
    <row r="1066" spans="1:5" x14ac:dyDescent="0.35">
      <c r="A1066" s="1">
        <f>Calculs!A1066</f>
        <v>45735</v>
      </c>
      <c r="B1066">
        <f>Calculs!B1066</f>
        <v>3035.89990234375</v>
      </c>
      <c r="C1066">
        <f>Calculs!C1066</f>
        <v>1.1405825142392521</v>
      </c>
      <c r="D1066">
        <f t="shared" si="32"/>
        <v>2.6348367390129166E-4</v>
      </c>
      <c r="E1066">
        <f t="shared" si="33"/>
        <v>5.0706950192373999E-3</v>
      </c>
    </row>
    <row r="1067" spans="1:5" x14ac:dyDescent="0.35">
      <c r="A1067" s="1">
        <f>Calculs!A1067</f>
        <v>45736</v>
      </c>
      <c r="B1067">
        <f>Calculs!B1067</f>
        <v>3040</v>
      </c>
      <c r="C1067">
        <f>Calculs!C1067</f>
        <v>1.1410315004156819</v>
      </c>
      <c r="D1067">
        <f t="shared" si="32"/>
        <v>1.3496266707838649E-3</v>
      </c>
      <c r="E1067">
        <f t="shared" si="33"/>
        <v>3.9356892037097308E-4</v>
      </c>
    </row>
    <row r="1068" spans="1:5" x14ac:dyDescent="0.35">
      <c r="A1068" s="1">
        <f>Calculs!A1068</f>
        <v>45737</v>
      </c>
      <c r="B1068">
        <f>Calculs!B1068</f>
        <v>3018.199951171875</v>
      </c>
      <c r="C1068">
        <f>Calculs!C1068</f>
        <v>1.1345882871041504</v>
      </c>
      <c r="D1068">
        <f t="shared" si="32"/>
        <v>-7.1969043937131737E-3</v>
      </c>
      <c r="E1068">
        <f t="shared" si="33"/>
        <v>-5.6628357383040348E-3</v>
      </c>
    </row>
    <row r="1069" spans="1:5" x14ac:dyDescent="0.35">
      <c r="A1069" s="1">
        <f>Calculs!A1069</f>
        <v>45740</v>
      </c>
      <c r="B1069">
        <f>Calculs!B1069</f>
        <v>3013.10009765625</v>
      </c>
      <c r="C1069">
        <f>Calculs!C1069</f>
        <v>1.1326054112147892</v>
      </c>
      <c r="D1069">
        <f t="shared" si="32"/>
        <v>-1.6911295043418105E-3</v>
      </c>
      <c r="E1069">
        <f t="shared" si="33"/>
        <v>-1.7491901079378866E-3</v>
      </c>
    </row>
    <row r="1070" spans="1:5" x14ac:dyDescent="0.35">
      <c r="A1070" s="1">
        <f>Calculs!A1070</f>
        <v>45741</v>
      </c>
      <c r="B1070">
        <f>Calculs!B1070</f>
        <v>3023.699951171875</v>
      </c>
      <c r="C1070">
        <f>Calculs!C1070</f>
        <v>1.1329005493318594</v>
      </c>
      <c r="D1070">
        <f t="shared" si="32"/>
        <v>3.5117493782604987E-3</v>
      </c>
      <c r="E1070">
        <f t="shared" si="33"/>
        <v>2.6054940828186036E-4</v>
      </c>
    </row>
    <row r="1071" spans="1:5" x14ac:dyDescent="0.35">
      <c r="A1071" s="1">
        <f>Calculs!A1071</f>
        <v>45742</v>
      </c>
      <c r="B1071">
        <f>Calculs!B1071</f>
        <v>3020.89990234375</v>
      </c>
      <c r="C1071">
        <f>Calculs!C1071</f>
        <v>1.1329518834230008</v>
      </c>
      <c r="D1071">
        <f t="shared" si="32"/>
        <v>-9.2646299052465142E-4</v>
      </c>
      <c r="E1071">
        <f t="shared" si="33"/>
        <v>4.5311062987224066E-5</v>
      </c>
    </row>
    <row r="1072" spans="1:5" x14ac:dyDescent="0.35">
      <c r="A1072" s="1">
        <f>Calculs!A1072</f>
        <v>45743</v>
      </c>
      <c r="B1072">
        <f>Calculs!B1072</f>
        <v>3060.199951171875</v>
      </c>
      <c r="C1072">
        <f>Calculs!C1072</f>
        <v>1.131017033259913</v>
      </c>
      <c r="D1072">
        <f t="shared" si="32"/>
        <v>1.2925489441903849E-2</v>
      </c>
      <c r="E1072">
        <f t="shared" si="33"/>
        <v>-1.7092554759866711E-3</v>
      </c>
    </row>
    <row r="1073" spans="1:5" x14ac:dyDescent="0.35">
      <c r="A1073" s="1">
        <f>Calculs!A1073</f>
        <v>45744</v>
      </c>
      <c r="B1073">
        <f>Calculs!B1073</f>
        <v>3086.5</v>
      </c>
      <c r="C1073">
        <f>Calculs!C1073</f>
        <v>1.1345586706770976</v>
      </c>
      <c r="D1073">
        <f t="shared" si="32"/>
        <v>8.5575055020983091E-3</v>
      </c>
      <c r="E1073">
        <f t="shared" si="33"/>
        <v>3.1264815348744529E-3</v>
      </c>
    </row>
    <row r="1074" spans="1:5" x14ac:dyDescent="0.35">
      <c r="A1074" s="1">
        <f>Calculs!A1074</f>
        <v>45747</v>
      </c>
      <c r="B1074">
        <f>Calculs!B1074</f>
        <v>3122.800048828125</v>
      </c>
      <c r="C1074">
        <f>Calculs!C1074</f>
        <v>1.1352670495772459</v>
      </c>
      <c r="D1074">
        <f t="shared" si="32"/>
        <v>1.169228804819296E-2</v>
      </c>
      <c r="E1074">
        <f t="shared" si="33"/>
        <v>6.2417032006057522E-4</v>
      </c>
    </row>
    <row r="1075" spans="1:5" x14ac:dyDescent="0.35">
      <c r="A1075" s="1">
        <f>Calculs!A1075</f>
        <v>45748</v>
      </c>
      <c r="B1075">
        <f>Calculs!B1075</f>
        <v>3118.89990234375</v>
      </c>
      <c r="C1075">
        <f>Calculs!C1075</f>
        <v>1.1314521090752458</v>
      </c>
      <c r="D1075">
        <f t="shared" si="32"/>
        <v>-1.2497066576345498E-3</v>
      </c>
      <c r="E1075">
        <f t="shared" si="33"/>
        <v>-3.3660491988767288E-3</v>
      </c>
    </row>
    <row r="1076" spans="1:5" x14ac:dyDescent="0.35">
      <c r="A1076" s="1">
        <f>Calculs!A1076</f>
        <v>45749</v>
      </c>
      <c r="B1076">
        <f>Calculs!B1076</f>
        <v>3139.89990234375</v>
      </c>
      <c r="C1076">
        <f>Calculs!C1076</f>
        <v>1.1319900090365065</v>
      </c>
      <c r="D1076">
        <f t="shared" si="32"/>
        <v>6.7105769351938818E-3</v>
      </c>
      <c r="E1076">
        <f t="shared" si="33"/>
        <v>4.752937723324448E-4</v>
      </c>
    </row>
    <row r="1077" spans="1:5" x14ac:dyDescent="0.35">
      <c r="A1077" s="1">
        <f>Calculs!A1077</f>
        <v>45750</v>
      </c>
      <c r="B1077">
        <f>Calculs!B1077</f>
        <v>3097</v>
      </c>
      <c r="C1077">
        <f>Calculs!C1077</f>
        <v>1.1405239735025505</v>
      </c>
      <c r="D1077">
        <f t="shared" si="32"/>
        <v>-1.3757020186500003E-2</v>
      </c>
      <c r="E1077">
        <f t="shared" si="33"/>
        <v>7.5106288876545056E-3</v>
      </c>
    </row>
    <row r="1078" spans="1:5" x14ac:dyDescent="0.35">
      <c r="A1078" s="1">
        <f>Calculs!A1078</f>
        <v>45751</v>
      </c>
      <c r="B1078">
        <f>Calculs!B1078</f>
        <v>3012</v>
      </c>
      <c r="C1078">
        <f>Calculs!C1078</f>
        <v>1.1638598052937632</v>
      </c>
      <c r="D1078">
        <f t="shared" si="32"/>
        <v>-2.7829591053418579E-2</v>
      </c>
      <c r="E1078">
        <f t="shared" si="33"/>
        <v>2.0254117177799836E-2</v>
      </c>
    </row>
    <row r="1079" spans="1:5" x14ac:dyDescent="0.35">
      <c r="A1079" s="1">
        <f>Calculs!A1079</f>
        <v>45754</v>
      </c>
      <c r="B1079">
        <f>Calculs!B1079</f>
        <v>2951.300048828125</v>
      </c>
      <c r="C1079">
        <f>Calculs!C1079</f>
        <v>1.1742464205962564</v>
      </c>
      <c r="D1079">
        <f t="shared" si="32"/>
        <v>-2.0358542145219389E-2</v>
      </c>
      <c r="E1079">
        <f t="shared" si="33"/>
        <v>8.8846978055588943E-3</v>
      </c>
    </row>
    <row r="1080" spans="1:5" x14ac:dyDescent="0.35">
      <c r="A1080" s="1">
        <f>Calculs!A1080</f>
        <v>45755</v>
      </c>
      <c r="B1080">
        <f>Calculs!B1080</f>
        <v>2968.39990234375</v>
      </c>
      <c r="C1080">
        <f>Calculs!C1080</f>
        <v>1.163182963405655</v>
      </c>
      <c r="D1080">
        <f t="shared" si="32"/>
        <v>5.7772864227977104E-3</v>
      </c>
      <c r="E1080">
        <f t="shared" si="33"/>
        <v>-9.4664162993477966E-3</v>
      </c>
    </row>
    <row r="1081" spans="1:5" x14ac:dyDescent="0.35">
      <c r="A1081" s="1">
        <f>Calculs!A1081</f>
        <v>45756</v>
      </c>
      <c r="B1081">
        <f>Calculs!B1081</f>
        <v>3056.5</v>
      </c>
      <c r="C1081">
        <f>Calculs!C1081</f>
        <v>1.1825083769035694</v>
      </c>
      <c r="D1081">
        <f t="shared" si="32"/>
        <v>2.9247416271417508E-2</v>
      </c>
      <c r="E1081">
        <f t="shared" si="33"/>
        <v>1.6477744046848271E-2</v>
      </c>
    </row>
    <row r="1082" spans="1:5" x14ac:dyDescent="0.35">
      <c r="A1082" s="1">
        <f>Calculs!A1082</f>
        <v>45757</v>
      </c>
      <c r="B1082">
        <f>Calculs!B1082</f>
        <v>3155.199951171875</v>
      </c>
      <c r="C1082">
        <f>Calculs!C1082</f>
        <v>1.1689754278633973</v>
      </c>
      <c r="D1082">
        <f t="shared" si="32"/>
        <v>3.1781399464090879E-2</v>
      </c>
      <c r="E1082">
        <f t="shared" si="33"/>
        <v>-1.1510262943852025E-2</v>
      </c>
    </row>
    <row r="1083" spans="1:5" x14ac:dyDescent="0.35">
      <c r="A1083" s="1">
        <f>Calculs!A1083</f>
        <v>45758</v>
      </c>
      <c r="B1083">
        <f>Calculs!B1083</f>
        <v>3222.199951171875</v>
      </c>
      <c r="C1083">
        <f>Calculs!C1083</f>
        <v>1.2183829448046299</v>
      </c>
      <c r="D1083">
        <f t="shared" si="32"/>
        <v>2.1012470970354798E-2</v>
      </c>
      <c r="E1083">
        <f t="shared" si="33"/>
        <v>4.1396861997215886E-2</v>
      </c>
    </row>
    <row r="1084" spans="1:5" x14ac:dyDescent="0.35">
      <c r="A1084" s="1">
        <f>Calculs!A1084</f>
        <v>45761</v>
      </c>
      <c r="B1084">
        <f>Calculs!B1084</f>
        <v>3204.800048828125</v>
      </c>
      <c r="C1084">
        <f>Calculs!C1084</f>
        <v>1.2224042532154822</v>
      </c>
      <c r="D1084">
        <f t="shared" si="32"/>
        <v>-5.4146397557367498E-3</v>
      </c>
      <c r="E1084">
        <f t="shared" si="33"/>
        <v>3.2950943471099104E-3</v>
      </c>
    </row>
    <row r="1085" spans="1:5" x14ac:dyDescent="0.35">
      <c r="A1085" s="1">
        <f>Calculs!A1085</f>
        <v>45762</v>
      </c>
      <c r="B1085">
        <f>Calculs!B1085</f>
        <v>3218.699951171875</v>
      </c>
      <c r="C1085">
        <f>Calculs!C1085</f>
        <v>1.2255502870549968</v>
      </c>
      <c r="D1085">
        <f t="shared" si="32"/>
        <v>4.3278349931827071E-3</v>
      </c>
      <c r="E1085">
        <f t="shared" si="33"/>
        <v>2.5703382312204665E-3</v>
      </c>
    </row>
    <row r="1086" spans="1:5" x14ac:dyDescent="0.35">
      <c r="A1086" s="1">
        <f>Calculs!A1086</f>
        <v>45763</v>
      </c>
      <c r="B1086">
        <f>Calculs!B1086</f>
        <v>3326.60009765625</v>
      </c>
      <c r="C1086">
        <f>Calculs!C1086</f>
        <v>1.2183680802565766</v>
      </c>
      <c r="D1086">
        <f t="shared" si="32"/>
        <v>3.2973254571937123E-2</v>
      </c>
      <c r="E1086">
        <f t="shared" si="33"/>
        <v>-5.8776328793875357E-3</v>
      </c>
    </row>
    <row r="1087" spans="1:5" x14ac:dyDescent="0.35">
      <c r="A1087" s="1">
        <f>Calculs!A1087</f>
        <v>45764</v>
      </c>
      <c r="B1087">
        <f>Calculs!B1087</f>
        <v>3308.699951171875</v>
      </c>
      <c r="C1087">
        <f>Calculs!C1087</f>
        <v>1.2288786050279583</v>
      </c>
      <c r="D1087">
        <f t="shared" si="32"/>
        <v>-5.3954424898931567E-3</v>
      </c>
      <c r="E1087">
        <f t="shared" si="33"/>
        <v>8.5897261274774303E-3</v>
      </c>
    </row>
    <row r="1088" spans="1:5" x14ac:dyDescent="0.35">
      <c r="A1088" s="1">
        <f>Calculs!A1088</f>
        <v>45769</v>
      </c>
      <c r="B1088">
        <f>Calculs!B1088</f>
        <v>3400.800048828125</v>
      </c>
      <c r="C1088">
        <f>Calculs!C1088</f>
        <v>1.236017515462176</v>
      </c>
      <c r="D1088">
        <f t="shared" si="32"/>
        <v>2.7455364179699741E-2</v>
      </c>
      <c r="E1088">
        <f t="shared" si="33"/>
        <v>5.7924797201344734E-3</v>
      </c>
    </row>
    <row r="1089" spans="1:5" x14ac:dyDescent="0.35">
      <c r="A1089" s="1">
        <f>Calculs!A1089</f>
        <v>45770</v>
      </c>
      <c r="B1089">
        <f>Calculs!B1089</f>
        <v>3276.300048828125</v>
      </c>
      <c r="C1089">
        <f>Calculs!C1089</f>
        <v>1.2105511483203701</v>
      </c>
      <c r="D1089">
        <f t="shared" si="32"/>
        <v>-3.729596062718759E-2</v>
      </c>
      <c r="E1089">
        <f t="shared" si="33"/>
        <v>-2.0818779638818511E-2</v>
      </c>
    </row>
    <row r="1090" spans="1:5" x14ac:dyDescent="0.35">
      <c r="A1090" s="1">
        <f>Calculs!A1090</f>
        <v>45771</v>
      </c>
      <c r="B1090">
        <f>Calculs!B1090</f>
        <v>3332</v>
      </c>
      <c r="C1090">
        <f>Calculs!C1090</f>
        <v>1.2051096508524011</v>
      </c>
      <c r="D1090">
        <f t="shared" si="32"/>
        <v>1.6857972511505684E-2</v>
      </c>
      <c r="E1090">
        <f t="shared" si="33"/>
        <v>-4.5051910214826711E-3</v>
      </c>
    </row>
    <row r="1091" spans="1:5" x14ac:dyDescent="0.35">
      <c r="A1091" s="1">
        <f>Calculs!A1091</f>
        <v>45772</v>
      </c>
      <c r="B1091">
        <f>Calculs!B1091</f>
        <v>3282.39990234375</v>
      </c>
      <c r="C1091">
        <f>Calculs!C1091</f>
        <v>1.2066510595909796</v>
      </c>
      <c r="D1091">
        <f t="shared" si="32"/>
        <v>-1.499789191023496E-2</v>
      </c>
      <c r="E1091">
        <f t="shared" si="33"/>
        <v>1.2782436846080943E-3</v>
      </c>
    </row>
    <row r="1092" spans="1:5" x14ac:dyDescent="0.35">
      <c r="A1092" s="1">
        <f>Calculs!A1092</f>
        <v>45775</v>
      </c>
      <c r="B1092">
        <f>Calculs!B1092</f>
        <v>3332.5</v>
      </c>
      <c r="C1092">
        <f>Calculs!C1092</f>
        <v>1.2071462830633448</v>
      </c>
      <c r="D1092">
        <f t="shared" ref="D1092:D1155" si="34">LN(B1092/B1091)</f>
        <v>1.5147940676365497E-2</v>
      </c>
      <c r="E1092">
        <f t="shared" ref="E1092:E1155" si="35">LN(C1092/C1091)</f>
        <v>4.1032730508255768E-4</v>
      </c>
    </row>
    <row r="1093" spans="1:5" x14ac:dyDescent="0.35">
      <c r="A1093" s="1">
        <f>Calculs!A1093</f>
        <v>45776</v>
      </c>
      <c r="B1093">
        <f>Calculs!B1093</f>
        <v>3318.800048828125</v>
      </c>
      <c r="C1093">
        <f>Calculs!C1093</f>
        <v>1.2177449804685714</v>
      </c>
      <c r="D1093">
        <f t="shared" si="34"/>
        <v>-4.1194865501492824E-3</v>
      </c>
      <c r="E1093">
        <f t="shared" si="35"/>
        <v>8.7416413736158844E-3</v>
      </c>
    </row>
    <row r="1094" spans="1:5" x14ac:dyDescent="0.35">
      <c r="A1094" s="1">
        <f>Calculs!A1094</f>
        <v>45777</v>
      </c>
      <c r="B1094">
        <f>Calculs!B1094</f>
        <v>3305</v>
      </c>
      <c r="C1094">
        <f>Calculs!C1094</f>
        <v>1.2144470797219917</v>
      </c>
      <c r="D1094">
        <f t="shared" si="34"/>
        <v>-4.1668132169278751E-3</v>
      </c>
      <c r="E1094">
        <f t="shared" si="35"/>
        <v>-2.7118769292097319E-3</v>
      </c>
    </row>
    <row r="1095" spans="1:5" x14ac:dyDescent="0.35">
      <c r="A1095" s="1">
        <f>Calculs!A1095</f>
        <v>45778</v>
      </c>
      <c r="B1095">
        <f>Calculs!B1095</f>
        <v>3210</v>
      </c>
      <c r="C1095">
        <f>Calculs!C1095</f>
        <v>1.2107124117676815</v>
      </c>
      <c r="D1095">
        <f t="shared" si="34"/>
        <v>-2.9165536161725059E-2</v>
      </c>
      <c r="E1095">
        <f t="shared" si="35"/>
        <v>-3.0799383872910646E-3</v>
      </c>
    </row>
    <row r="1096" spans="1:5" x14ac:dyDescent="0.35">
      <c r="A1096" s="1">
        <f>Calculs!A1096</f>
        <v>45779</v>
      </c>
      <c r="B1096">
        <f>Calculs!B1096</f>
        <v>3231.89990234375</v>
      </c>
      <c r="C1096">
        <f>Calculs!C1096</f>
        <v>1.206301678525928</v>
      </c>
      <c r="D1096">
        <f t="shared" si="34"/>
        <v>6.7992322278356476E-3</v>
      </c>
      <c r="E1096">
        <f t="shared" si="35"/>
        <v>-3.6497413528569396E-3</v>
      </c>
    </row>
    <row r="1097" spans="1:5" x14ac:dyDescent="0.35">
      <c r="A1097" s="1">
        <f>Calculs!A1097</f>
        <v>45782</v>
      </c>
      <c r="B1097">
        <f>Calculs!B1097</f>
        <v>3311.300048828125</v>
      </c>
      <c r="C1097">
        <f>Calculs!C1097</f>
        <v>1.2134449444326472</v>
      </c>
      <c r="D1097">
        <f t="shared" si="34"/>
        <v>2.4270706904035648E-2</v>
      </c>
      <c r="E1097">
        <f t="shared" si="35"/>
        <v>5.9041608651026842E-3</v>
      </c>
    </row>
    <row r="1098" spans="1:5" x14ac:dyDescent="0.35">
      <c r="A1098" s="1">
        <f>Calculs!A1098</f>
        <v>45783</v>
      </c>
      <c r="B1098">
        <f>Calculs!B1098</f>
        <v>3411.39990234375</v>
      </c>
      <c r="C1098">
        <f>Calculs!C1098</f>
        <v>1.2168544170695417</v>
      </c>
      <c r="D1098">
        <f t="shared" si="34"/>
        <v>2.9781859324395553E-2</v>
      </c>
      <c r="E1098">
        <f t="shared" si="35"/>
        <v>2.8058065007737451E-3</v>
      </c>
    </row>
    <row r="1099" spans="1:5" x14ac:dyDescent="0.35">
      <c r="A1099" s="1">
        <f>Calculs!A1099</f>
        <v>45784</v>
      </c>
      <c r="B1099">
        <f>Calculs!B1099</f>
        <v>3381.39990234375</v>
      </c>
      <c r="C1099">
        <f>Calculs!C1099</f>
        <v>1.211196285125377</v>
      </c>
      <c r="D1099">
        <f t="shared" si="34"/>
        <v>-8.8329395578821916E-3</v>
      </c>
      <c r="E1099">
        <f t="shared" si="35"/>
        <v>-4.660645826735435E-3</v>
      </c>
    </row>
    <row r="1100" spans="1:5" x14ac:dyDescent="0.35">
      <c r="A1100" s="1">
        <f>Calculs!A1100</f>
        <v>45785</v>
      </c>
      <c r="B1100">
        <f>Calculs!B1100</f>
        <v>3296.60009765625</v>
      </c>
      <c r="C1100">
        <f>Calculs!C1100</f>
        <v>1.2136658886004046</v>
      </c>
      <c r="D1100">
        <f t="shared" si="34"/>
        <v>-2.5398132101867026E-2</v>
      </c>
      <c r="E1100">
        <f t="shared" si="35"/>
        <v>2.0369028439193603E-3</v>
      </c>
    </row>
    <row r="1101" spans="1:5" x14ac:dyDescent="0.35">
      <c r="A1101" s="1">
        <f>Calculs!A1101</f>
        <v>45786</v>
      </c>
      <c r="B1101">
        <f>Calculs!B1101</f>
        <v>3335.39990234375</v>
      </c>
      <c r="C1101">
        <f>Calculs!C1101</f>
        <v>1.2022120933656117</v>
      </c>
      <c r="D1101">
        <f t="shared" si="34"/>
        <v>1.1700918988177024E-2</v>
      </c>
      <c r="E1101">
        <f t="shared" si="35"/>
        <v>-9.4821685028598935E-3</v>
      </c>
    </row>
    <row r="1102" spans="1:5" x14ac:dyDescent="0.35">
      <c r="A1102" s="1">
        <f>Calculs!A1102</f>
        <v>45789</v>
      </c>
      <c r="B1102">
        <f>Calculs!B1102</f>
        <v>3220</v>
      </c>
      <c r="C1102">
        <f>Calculs!C1102</f>
        <v>1.1994290971161168</v>
      </c>
      <c r="D1102">
        <f t="shared" si="34"/>
        <v>-3.5211223370302219E-2</v>
      </c>
      <c r="E1102">
        <f t="shared" si="35"/>
        <v>-2.3175797502042505E-3</v>
      </c>
    </row>
    <row r="1103" spans="1:5" x14ac:dyDescent="0.35">
      <c r="A1103" s="1">
        <f>Calculs!A1103</f>
        <v>45790</v>
      </c>
      <c r="B1103">
        <f>Calculs!B1103</f>
        <v>3240.300048828125</v>
      </c>
      <c r="C1103">
        <f>Calculs!C1103</f>
        <v>1.183614087373116</v>
      </c>
      <c r="D1103">
        <f t="shared" si="34"/>
        <v>6.2845736230977426E-3</v>
      </c>
      <c r="E1103">
        <f t="shared" si="35"/>
        <v>-1.3273147571370464E-2</v>
      </c>
    </row>
    <row r="1104" spans="1:5" x14ac:dyDescent="0.35">
      <c r="A1104" s="1">
        <f>Calculs!A1104</f>
        <v>45791</v>
      </c>
      <c r="B1104">
        <f>Calculs!B1104</f>
        <v>3181.39990234375</v>
      </c>
      <c r="C1104">
        <f>Calculs!C1104</f>
        <v>1.1912845982524831</v>
      </c>
      <c r="D1104">
        <f t="shared" si="34"/>
        <v>-1.8344612393290653E-2</v>
      </c>
      <c r="E1104">
        <f t="shared" si="35"/>
        <v>6.459675604960277E-3</v>
      </c>
    </row>
    <row r="1105" spans="1:5" x14ac:dyDescent="0.35">
      <c r="A1105" s="1">
        <f>Calculs!A1105</f>
        <v>45792</v>
      </c>
      <c r="B1105">
        <f>Calculs!B1105</f>
        <v>3220.699951171875</v>
      </c>
      <c r="C1105">
        <f>Calculs!C1105</f>
        <v>1.1887327133089516</v>
      </c>
      <c r="D1105">
        <f t="shared" si="34"/>
        <v>1.2277391287757004E-2</v>
      </c>
      <c r="E1105">
        <f t="shared" si="35"/>
        <v>-2.144426352743195E-3</v>
      </c>
    </row>
    <row r="1106" spans="1:5" x14ac:dyDescent="0.35">
      <c r="A1106" s="1">
        <f>Calculs!A1106</f>
        <v>45793</v>
      </c>
      <c r="B1106">
        <f>Calculs!B1106</f>
        <v>3182</v>
      </c>
      <c r="C1106">
        <f>Calculs!C1106</f>
        <v>1.1981788087983487</v>
      </c>
      <c r="D1106">
        <f t="shared" si="34"/>
        <v>-1.2088782158285714E-2</v>
      </c>
      <c r="E1106">
        <f t="shared" si="35"/>
        <v>7.9149517823024224E-3</v>
      </c>
    </row>
    <row r="1107" spans="1:5" x14ac:dyDescent="0.35">
      <c r="A1107" s="1">
        <f>Calculs!A1107</f>
        <v>45796</v>
      </c>
      <c r="B1107">
        <f>Calculs!B1107</f>
        <v>3228.89990234375</v>
      </c>
      <c r="C1107">
        <f>Calculs!C1107</f>
        <v>1.1969597314598304</v>
      </c>
      <c r="D1107">
        <f t="shared" si="34"/>
        <v>1.4631561796196542E-2</v>
      </c>
      <c r="E1107">
        <f t="shared" si="35"/>
        <v>-1.0179598576861664E-3</v>
      </c>
    </row>
    <row r="1108" spans="1:5" x14ac:dyDescent="0.35">
      <c r="A1108" s="1">
        <f>Calculs!A1108</f>
        <v>45797</v>
      </c>
      <c r="B1108">
        <f>Calculs!B1108</f>
        <v>3280.300048828125</v>
      </c>
      <c r="C1108">
        <f>Calculs!C1108</f>
        <v>1.1976190979275325</v>
      </c>
      <c r="D1108">
        <f t="shared" si="34"/>
        <v>1.5793404801633753E-2</v>
      </c>
      <c r="E1108">
        <f t="shared" si="35"/>
        <v>5.507160393092795E-4</v>
      </c>
    </row>
    <row r="1109" spans="1:5" x14ac:dyDescent="0.35">
      <c r="A1109" s="1">
        <f>Calculs!A1109</f>
        <v>45798</v>
      </c>
      <c r="B1109">
        <f>Calculs!B1109</f>
        <v>3309.300048828125</v>
      </c>
      <c r="C1109">
        <f>Calculs!C1109</f>
        <v>1.2096110678600593</v>
      </c>
      <c r="D1109">
        <f t="shared" si="34"/>
        <v>8.8018049027029071E-3</v>
      </c>
      <c r="E1109">
        <f t="shared" si="35"/>
        <v>9.9633755884446056E-3</v>
      </c>
    </row>
    <row r="1110" spans="1:5" x14ac:dyDescent="0.35">
      <c r="A1110" s="1">
        <f>Calculs!A1110</f>
        <v>45799</v>
      </c>
      <c r="B1110">
        <f>Calculs!B1110</f>
        <v>3292.300048828125</v>
      </c>
      <c r="C1110">
        <f>Calculs!C1110</f>
        <v>1.2120183396234376</v>
      </c>
      <c r="D1110">
        <f t="shared" si="34"/>
        <v>-5.1502779102344243E-3</v>
      </c>
      <c r="E1110">
        <f t="shared" si="35"/>
        <v>1.9881428172921585E-3</v>
      </c>
    </row>
    <row r="1111" spans="1:5" x14ac:dyDescent="0.35">
      <c r="A1111" s="1">
        <f>Calculs!A1111</f>
        <v>45800</v>
      </c>
      <c r="B1111">
        <f>Calculs!B1111</f>
        <v>3363.60009765625</v>
      </c>
      <c r="C1111">
        <f>Calculs!C1111</f>
        <v>1.2071754673904205</v>
      </c>
      <c r="D1111">
        <f t="shared" si="34"/>
        <v>2.1425434503964738E-2</v>
      </c>
      <c r="E1111">
        <f t="shared" si="35"/>
        <v>-4.0037128799937961E-3</v>
      </c>
    </row>
    <row r="1112" spans="1:5" x14ac:dyDescent="0.35">
      <c r="A1112" s="1">
        <f>Calculs!A1112</f>
        <v>45804</v>
      </c>
      <c r="B1112">
        <f>Calculs!B1112</f>
        <v>3299.10009765625</v>
      </c>
      <c r="C1112">
        <f>Calculs!C1112</f>
        <v>1.2188878469066933</v>
      </c>
      <c r="D1112">
        <f t="shared" si="34"/>
        <v>-1.9362124406121534E-2</v>
      </c>
      <c r="E1112">
        <f t="shared" si="35"/>
        <v>9.6555357330718964E-3</v>
      </c>
    </row>
    <row r="1113" spans="1:5" x14ac:dyDescent="0.35">
      <c r="A1113" s="1">
        <f>Calculs!A1113</f>
        <v>45805</v>
      </c>
      <c r="B1113">
        <f>Calculs!B1113</f>
        <v>3293.60009765625</v>
      </c>
      <c r="C1113">
        <f>Calculs!C1113</f>
        <v>1.2088097804471754</v>
      </c>
      <c r="D1113">
        <f t="shared" si="34"/>
        <v>-1.6685124798728683E-3</v>
      </c>
      <c r="E1113">
        <f t="shared" si="35"/>
        <v>-8.3026191061987744E-3</v>
      </c>
    </row>
    <row r="1114" spans="1:5" x14ac:dyDescent="0.35">
      <c r="A1114" s="1">
        <f>Calculs!A1114</f>
        <v>45806</v>
      </c>
      <c r="B1114">
        <f>Calculs!B1114</f>
        <v>3317.10009765625</v>
      </c>
      <c r="C1114">
        <f>Calculs!C1114</f>
        <v>1.2011290768650427</v>
      </c>
      <c r="D1114">
        <f t="shared" si="34"/>
        <v>7.109715550713264E-3</v>
      </c>
      <c r="E1114">
        <f t="shared" si="35"/>
        <v>-6.3742111670227987E-3</v>
      </c>
    </row>
    <row r="1115" spans="1:5" x14ac:dyDescent="0.35">
      <c r="A1115" s="1">
        <f>Calculs!A1115</f>
        <v>45807</v>
      </c>
      <c r="B1115">
        <f>Calculs!B1115</f>
        <v>3288.89990234375</v>
      </c>
      <c r="C1115">
        <f>Calculs!C1115</f>
        <v>1.2165894340165542</v>
      </c>
      <c r="D1115">
        <f t="shared" si="34"/>
        <v>-8.5378040007891356E-3</v>
      </c>
      <c r="E1115">
        <f t="shared" si="35"/>
        <v>1.2789386205914579E-2</v>
      </c>
    </row>
    <row r="1116" spans="1:5" x14ac:dyDescent="0.35">
      <c r="A1116" s="1">
        <f>Calculs!A1116</f>
        <v>45810</v>
      </c>
      <c r="B1116">
        <f>Calculs!B1116</f>
        <v>3370.60009765625</v>
      </c>
      <c r="C1116">
        <f>Calculs!C1116</f>
        <v>1.2161455835897774</v>
      </c>
      <c r="D1116">
        <f t="shared" si="34"/>
        <v>2.4537666358951219E-2</v>
      </c>
      <c r="E1116">
        <f t="shared" si="35"/>
        <v>-3.6489829635320375E-4</v>
      </c>
    </row>
    <row r="1117" spans="1:5" x14ac:dyDescent="0.35">
      <c r="A1117" s="1">
        <f>Calculs!A1117</f>
        <v>45811</v>
      </c>
      <c r="B1117">
        <f>Calculs!B1117</f>
        <v>3350.199951171875</v>
      </c>
      <c r="C1117">
        <f>Calculs!C1117</f>
        <v>1.2255802785290186</v>
      </c>
      <c r="D1117">
        <f t="shared" si="34"/>
        <v>-6.070768059979941E-3</v>
      </c>
      <c r="E1117">
        <f t="shared" si="35"/>
        <v>7.727928871617766E-3</v>
      </c>
    </row>
    <row r="1118" spans="1:5" x14ac:dyDescent="0.35">
      <c r="A1118" s="1">
        <f>Calculs!A1118</f>
        <v>45812</v>
      </c>
      <c r="B1118">
        <f>Calculs!B1118</f>
        <v>3373.5</v>
      </c>
      <c r="C1118">
        <f>Calculs!C1118</f>
        <v>1.2152292771380266</v>
      </c>
      <c r="D1118">
        <f t="shared" si="34"/>
        <v>6.9307501125834836E-3</v>
      </c>
      <c r="E1118">
        <f t="shared" si="35"/>
        <v>-8.48166414290971E-3</v>
      </c>
    </row>
    <row r="1119" spans="1:5" x14ac:dyDescent="0.35">
      <c r="A1119" s="1">
        <f>Calculs!A1119</f>
        <v>45813</v>
      </c>
      <c r="B1119">
        <f>Calculs!B1119</f>
        <v>3350.699951171875</v>
      </c>
      <c r="C1119">
        <f>Calculs!C1119</f>
        <v>1.2225387570109987</v>
      </c>
      <c r="D1119">
        <f t="shared" si="34"/>
        <v>-6.7815164251042474E-3</v>
      </c>
      <c r="E1119">
        <f t="shared" si="35"/>
        <v>5.9968804875677774E-3</v>
      </c>
    </row>
    <row r="1120" spans="1:5" x14ac:dyDescent="0.35">
      <c r="A1120" s="1">
        <f>Calculs!A1120</f>
        <v>45814</v>
      </c>
      <c r="B1120">
        <f>Calculs!B1120</f>
        <v>3322.699951171875</v>
      </c>
      <c r="C1120">
        <f>Calculs!C1120</f>
        <v>1.2206286422130832</v>
      </c>
      <c r="D1120">
        <f t="shared" si="34"/>
        <v>-8.3915739261592459E-3</v>
      </c>
      <c r="E1120">
        <f t="shared" si="35"/>
        <v>-1.5636384045582881E-3</v>
      </c>
    </row>
    <row r="1121" spans="1:5" x14ac:dyDescent="0.35">
      <c r="A1121" s="1">
        <f>Calculs!A1121</f>
        <v>45817</v>
      </c>
      <c r="B1121">
        <f>Calculs!B1121</f>
        <v>3332.10009765625</v>
      </c>
      <c r="C1121">
        <f>Calculs!C1121</f>
        <v>1.217641221919205</v>
      </c>
      <c r="D1121">
        <f t="shared" si="34"/>
        <v>2.8250744326858415E-3</v>
      </c>
      <c r="E1121">
        <f t="shared" si="35"/>
        <v>-2.4504439255868538E-3</v>
      </c>
    </row>
    <row r="1122" spans="1:5" x14ac:dyDescent="0.35">
      <c r="A1122" s="1">
        <f>Calculs!A1122</f>
        <v>45818</v>
      </c>
      <c r="B1122">
        <f>Calculs!B1122</f>
        <v>3320.89990234375</v>
      </c>
      <c r="C1122">
        <f>Calculs!C1122</f>
        <v>1.2177301314829667</v>
      </c>
      <c r="D1122">
        <f t="shared" si="34"/>
        <v>-3.3669640443006869E-3</v>
      </c>
      <c r="E1122">
        <f t="shared" si="35"/>
        <v>7.3015200476142622E-5</v>
      </c>
    </row>
    <row r="1123" spans="1:5" x14ac:dyDescent="0.35">
      <c r="A1123" s="1">
        <f>Calculs!A1123</f>
        <v>45819</v>
      </c>
      <c r="B1123">
        <f>Calculs!B1123</f>
        <v>3321.300048828125</v>
      </c>
      <c r="C1123">
        <f>Calculs!C1123</f>
        <v>1.2166634552927804</v>
      </c>
      <c r="D1123">
        <f t="shared" si="34"/>
        <v>1.20486130438958E-4</v>
      </c>
      <c r="E1123">
        <f t="shared" si="35"/>
        <v>-8.7633837374964272E-4</v>
      </c>
    </row>
    <row r="1124" spans="1:5" x14ac:dyDescent="0.35">
      <c r="A1124" s="1">
        <f>Calculs!A1124</f>
        <v>45820</v>
      </c>
      <c r="B1124">
        <f>Calculs!B1124</f>
        <v>3380.89990234375</v>
      </c>
      <c r="C1124">
        <f>Calculs!C1124</f>
        <v>1.2218963453118952</v>
      </c>
      <c r="D1124">
        <f t="shared" si="34"/>
        <v>1.7785630102534412E-2</v>
      </c>
      <c r="E1124">
        <f t="shared" si="35"/>
        <v>4.2917939105537335E-3</v>
      </c>
    </row>
    <row r="1125" spans="1:5" x14ac:dyDescent="0.35">
      <c r="A1125" s="1">
        <f>Calculs!A1125</f>
        <v>45821</v>
      </c>
      <c r="B1125">
        <f>Calculs!B1125</f>
        <v>3431.199951171875</v>
      </c>
      <c r="C1125">
        <f>Calculs!C1125</f>
        <v>1.2360939198253444</v>
      </c>
      <c r="D1125">
        <f t="shared" si="34"/>
        <v>1.4768122634469274E-2</v>
      </c>
      <c r="E1125">
        <f t="shared" si="35"/>
        <v>1.1552309714373918E-2</v>
      </c>
    </row>
    <row r="1126" spans="1:5" x14ac:dyDescent="0.35">
      <c r="A1126" s="1">
        <f>Calculs!A1126</f>
        <v>45824</v>
      </c>
      <c r="B1126">
        <f>Calculs!B1126</f>
        <v>3396.39990234375</v>
      </c>
      <c r="C1126">
        <f>Calculs!C1126</f>
        <v>1.2311996068313711</v>
      </c>
      <c r="D1126">
        <f t="shared" si="34"/>
        <v>-1.0194021599707037E-2</v>
      </c>
      <c r="E1126">
        <f t="shared" si="35"/>
        <v>-3.9673588576101806E-3</v>
      </c>
    </row>
    <row r="1127" spans="1:5" x14ac:dyDescent="0.35">
      <c r="A1127" s="1">
        <f>Calculs!A1127</f>
        <v>45825</v>
      </c>
      <c r="B1127">
        <f>Calculs!B1127</f>
        <v>3386.60009765625</v>
      </c>
      <c r="C1127">
        <f>Calculs!C1127</f>
        <v>1.2289390957433561</v>
      </c>
      <c r="D1127">
        <f t="shared" si="34"/>
        <v>-2.8895213050230267E-3</v>
      </c>
      <c r="E1127">
        <f t="shared" si="35"/>
        <v>-1.8377107939716044E-3</v>
      </c>
    </row>
    <row r="1128" spans="1:5" x14ac:dyDescent="0.35">
      <c r="A1128" s="1">
        <f>Calculs!A1128</f>
        <v>45826</v>
      </c>
      <c r="B1128">
        <f>Calculs!B1128</f>
        <v>3389.800048828125</v>
      </c>
      <c r="C1128">
        <f>Calculs!C1128</f>
        <v>1.2241850375970353</v>
      </c>
      <c r="D1128">
        <f t="shared" si="34"/>
        <v>9.444399210661637E-4</v>
      </c>
      <c r="E1128">
        <f t="shared" si="35"/>
        <v>-3.8759262389652161E-3</v>
      </c>
    </row>
    <row r="1129" spans="1:5" x14ac:dyDescent="0.35">
      <c r="A1129" s="1">
        <f>Calculs!A1129</f>
        <v>45828</v>
      </c>
      <c r="B1129">
        <f>Calculs!B1129</f>
        <v>3368.10009765625</v>
      </c>
      <c r="C1129">
        <f>Calculs!C1129</f>
        <v>1.2249047967653059</v>
      </c>
      <c r="D1129">
        <f t="shared" si="34"/>
        <v>-6.4221208610746846E-3</v>
      </c>
      <c r="E1129">
        <f t="shared" si="35"/>
        <v>5.8777687849077733E-4</v>
      </c>
    </row>
    <row r="1130" spans="1:5" x14ac:dyDescent="0.35">
      <c r="A1130" s="1">
        <f>Calculs!A1130</f>
        <v>45831</v>
      </c>
      <c r="B1130">
        <f>Calculs!B1130</f>
        <v>3377.699951171875</v>
      </c>
      <c r="C1130">
        <f>Calculs!C1130</f>
        <v>1.2228676588067495</v>
      </c>
      <c r="D1130">
        <f t="shared" si="34"/>
        <v>2.8461738938607515E-3</v>
      </c>
      <c r="E1130">
        <f t="shared" si="35"/>
        <v>-1.664483497429894E-3</v>
      </c>
    </row>
    <row r="1131" spans="1:5" x14ac:dyDescent="0.35">
      <c r="A1131" s="1">
        <f>Calculs!A1131</f>
        <v>45832</v>
      </c>
      <c r="B1131">
        <f>Calculs!B1131</f>
        <v>3317.39990234375</v>
      </c>
      <c r="C1131">
        <f>Calculs!C1131</f>
        <v>1.2306480752712385</v>
      </c>
      <c r="D1131">
        <f t="shared" si="34"/>
        <v>-1.8013675886811464E-2</v>
      </c>
      <c r="E1131">
        <f t="shared" si="35"/>
        <v>6.3422805378422391E-3</v>
      </c>
    </row>
    <row r="1132" spans="1:5" x14ac:dyDescent="0.35">
      <c r="A1132" s="1">
        <f>Calculs!A1132</f>
        <v>45833</v>
      </c>
      <c r="B1132">
        <f>Calculs!B1132</f>
        <v>3327.10009765625</v>
      </c>
      <c r="C1132">
        <f>Calculs!C1132</f>
        <v>1.2420046379322152</v>
      </c>
      <c r="D1132">
        <f t="shared" si="34"/>
        <v>2.9197688926843124E-3</v>
      </c>
      <c r="E1132">
        <f t="shared" si="35"/>
        <v>9.1857966585494472E-3</v>
      </c>
    </row>
    <row r="1133" spans="1:5" x14ac:dyDescent="0.35">
      <c r="A1133" s="1">
        <f>Calculs!A1133</f>
        <v>45834</v>
      </c>
      <c r="B1133">
        <f>Calculs!B1133</f>
        <v>3333.5</v>
      </c>
      <c r="C1133">
        <f>Calculs!C1133</f>
        <v>1.2441989055165572</v>
      </c>
      <c r="D1133">
        <f t="shared" si="34"/>
        <v>1.9217200310753606E-3</v>
      </c>
      <c r="E1133">
        <f t="shared" si="35"/>
        <v>1.7651556807252774E-3</v>
      </c>
    </row>
    <row r="1134" spans="1:5" x14ac:dyDescent="0.35">
      <c r="A1134" s="1">
        <f>Calculs!A1134</f>
        <v>45835</v>
      </c>
      <c r="B1134">
        <f>Calculs!B1134</f>
        <v>3273.699951171875</v>
      </c>
      <c r="C1134">
        <f>Calculs!C1134</f>
        <v>1.2486108759550798</v>
      </c>
      <c r="D1134">
        <f t="shared" si="34"/>
        <v>-1.8101974273062114E-2</v>
      </c>
      <c r="E1134">
        <f t="shared" si="35"/>
        <v>3.5397606974366435E-3</v>
      </c>
    </row>
    <row r="1135" spans="1:5" x14ac:dyDescent="0.35">
      <c r="A1135" s="1">
        <f>Calculs!A1135</f>
        <v>45838</v>
      </c>
      <c r="B1135">
        <f>Calculs!B1135</f>
        <v>3294.39990234375</v>
      </c>
      <c r="C1135">
        <f>Calculs!C1135</f>
        <v>1.2527403388769447</v>
      </c>
      <c r="D1135">
        <f t="shared" si="34"/>
        <v>6.303198845365553E-3</v>
      </c>
      <c r="E1135">
        <f t="shared" si="35"/>
        <v>3.3017887683500996E-3</v>
      </c>
    </row>
    <row r="1136" spans="1:5" x14ac:dyDescent="0.35">
      <c r="A1136" s="1">
        <f>Calculs!A1136</f>
        <v>45839</v>
      </c>
      <c r="B1136">
        <f>Calculs!B1136</f>
        <v>3336.699951171875</v>
      </c>
      <c r="C1136">
        <f>Calculs!C1136</f>
        <v>1.2614794315783855</v>
      </c>
      <c r="D1136">
        <f t="shared" si="34"/>
        <v>1.2758252337171075E-2</v>
      </c>
      <c r="E1136">
        <f t="shared" si="35"/>
        <v>6.9517613365440547E-3</v>
      </c>
    </row>
    <row r="1137" spans="1:5" x14ac:dyDescent="0.35">
      <c r="A1137" s="1">
        <f>Calculs!A1137</f>
        <v>45840</v>
      </c>
      <c r="B1137">
        <f>Calculs!B1137</f>
        <v>3348</v>
      </c>
      <c r="C1137">
        <f>Calculs!C1137</f>
        <v>1.2647181498399958</v>
      </c>
      <c r="D1137">
        <f t="shared" si="34"/>
        <v>3.3808726417766822E-3</v>
      </c>
      <c r="E1137">
        <f t="shared" si="35"/>
        <v>2.5641066715320474E-3</v>
      </c>
    </row>
    <row r="1138" spans="1:5" x14ac:dyDescent="0.35">
      <c r="A1138" s="1">
        <f>Calculs!A1138</f>
        <v>45841</v>
      </c>
      <c r="B1138">
        <f>Calculs!B1138</f>
        <v>3331.60009765625</v>
      </c>
      <c r="C1138">
        <f>Calculs!C1138</f>
        <v>1.2634239228578059</v>
      </c>
      <c r="D1138">
        <f t="shared" si="34"/>
        <v>-4.9104542360636164E-3</v>
      </c>
      <c r="E1138">
        <f t="shared" si="35"/>
        <v>-1.0238563008196486E-3</v>
      </c>
    </row>
    <row r="1139" spans="1:5" x14ac:dyDescent="0.35">
      <c r="A1139" s="1">
        <f>Calculs!A1139</f>
        <v>45842</v>
      </c>
      <c r="B1139">
        <f>Calculs!B1139</f>
        <v>3332.5</v>
      </c>
      <c r="C1139">
        <f>Calculs!C1139</f>
        <v>1.259287264744231</v>
      </c>
      <c r="D1139">
        <f t="shared" si="34"/>
        <v>2.7007467956151749E-4</v>
      </c>
      <c r="E1139">
        <f t="shared" si="35"/>
        <v>-3.2795365886574466E-3</v>
      </c>
    </row>
    <row r="1140" spans="1:5" x14ac:dyDescent="0.35">
      <c r="A1140" s="1">
        <f>Calculs!A1140</f>
        <v>45845</v>
      </c>
      <c r="B1140">
        <f>Calculs!B1140</f>
        <v>3332.199951171875</v>
      </c>
      <c r="C1140">
        <f>Calculs!C1140</f>
        <v>1.2593823603615764</v>
      </c>
      <c r="D1140">
        <f t="shared" si="34"/>
        <v>-9.0041211315133185E-5</v>
      </c>
      <c r="E1140">
        <f t="shared" si="35"/>
        <v>7.5512577308865973E-5</v>
      </c>
    </row>
    <row r="1141" spans="1:5" x14ac:dyDescent="0.35">
      <c r="A1141" s="1">
        <f>Calculs!A1141</f>
        <v>45846</v>
      </c>
      <c r="B1141">
        <f>Calculs!B1141</f>
        <v>3307</v>
      </c>
      <c r="C1141">
        <f>Calculs!C1141</f>
        <v>1.2544532629646228</v>
      </c>
      <c r="D1141">
        <f t="shared" si="34"/>
        <v>-7.5912978597557877E-3</v>
      </c>
      <c r="E1141">
        <f t="shared" si="35"/>
        <v>-3.9215799698093211E-3</v>
      </c>
    </row>
    <row r="1142" spans="1:5" x14ac:dyDescent="0.35">
      <c r="A1142" s="1">
        <f>Calculs!A1142</f>
        <v>45847</v>
      </c>
      <c r="B1142">
        <f>Calculs!B1142</f>
        <v>3311.60009765625</v>
      </c>
      <c r="C1142">
        <f>Calculs!C1142</f>
        <v>1.2564866025292825</v>
      </c>
      <c r="D1142">
        <f t="shared" si="34"/>
        <v>1.3900517720019155E-3</v>
      </c>
      <c r="E1142">
        <f t="shared" si="35"/>
        <v>1.6195847913890603E-3</v>
      </c>
    </row>
    <row r="1143" spans="1:5" x14ac:dyDescent="0.35">
      <c r="A1143" s="1">
        <f>Calculs!A1143</f>
        <v>45848</v>
      </c>
      <c r="B1143">
        <f>Calculs!B1143</f>
        <v>3317.39990234375</v>
      </c>
      <c r="C1143">
        <f>Calculs!C1143</f>
        <v>1.2611453611240278</v>
      </c>
      <c r="D1143">
        <f t="shared" si="34"/>
        <v>1.7498283805606845E-3</v>
      </c>
      <c r="E1143">
        <f t="shared" si="35"/>
        <v>3.7009094097010058E-3</v>
      </c>
    </row>
    <row r="1144" spans="1:5" x14ac:dyDescent="0.35">
      <c r="A1144" s="1">
        <f>Calculs!A1144</f>
        <v>45849</v>
      </c>
      <c r="B1144">
        <f>Calculs!B1144</f>
        <v>3356</v>
      </c>
      <c r="C1144">
        <f>Calculs!C1144</f>
        <v>1.2551460550153426</v>
      </c>
      <c r="D1144">
        <f t="shared" si="34"/>
        <v>1.1568474452741711E-2</v>
      </c>
      <c r="E1144">
        <f t="shared" si="35"/>
        <v>-4.7683805123786916E-3</v>
      </c>
    </row>
    <row r="1145" spans="1:5" x14ac:dyDescent="0.35">
      <c r="A1145" s="1">
        <f>Calculs!A1145</f>
        <v>45852</v>
      </c>
      <c r="B1145">
        <f>Calculs!B1145</f>
        <v>3351.5</v>
      </c>
      <c r="C1145">
        <f>Calculs!C1145</f>
        <v>1.255035825324482</v>
      </c>
      <c r="D1145">
        <f t="shared" si="34"/>
        <v>-1.3417817890844313E-3</v>
      </c>
      <c r="E1145">
        <f t="shared" si="35"/>
        <v>-8.78260589758745E-5</v>
      </c>
    </row>
    <row r="1146" spans="1:5" x14ac:dyDescent="0.35">
      <c r="A1146" s="1">
        <f>Calculs!A1146</f>
        <v>45853</v>
      </c>
      <c r="B1146">
        <f>Calculs!B1146</f>
        <v>3329.800048828125</v>
      </c>
      <c r="C1146">
        <f>Calculs!C1146</f>
        <v>1.2533370406790298</v>
      </c>
      <c r="D1146">
        <f t="shared" si="34"/>
        <v>-6.4957500232793253E-3</v>
      </c>
      <c r="E1146">
        <f t="shared" si="35"/>
        <v>-1.3544915336939699E-3</v>
      </c>
    </row>
    <row r="1147" spans="1:5" x14ac:dyDescent="0.35">
      <c r="A1147" s="1">
        <f>Calculs!A1147</f>
        <v>45854</v>
      </c>
      <c r="B1147">
        <f>Calculs!B1147</f>
        <v>3352.5</v>
      </c>
      <c r="C1147">
        <f>Calculs!C1147</f>
        <v>1.2477852227599282</v>
      </c>
      <c r="D1147">
        <f t="shared" si="34"/>
        <v>6.7940793811005632E-3</v>
      </c>
      <c r="E1147">
        <f t="shared" si="35"/>
        <v>-4.4394687285770418E-3</v>
      </c>
    </row>
    <row r="1148" spans="1:5" x14ac:dyDescent="0.35">
      <c r="A1148" s="1">
        <f>Calculs!A1148</f>
        <v>45855</v>
      </c>
      <c r="B1148">
        <f>Calculs!B1148</f>
        <v>3340.10009765625</v>
      </c>
      <c r="C1148">
        <f>Calculs!C1148</f>
        <v>1.2485641362402071</v>
      </c>
      <c r="D1148">
        <f t="shared" si="34"/>
        <v>-3.7055602760010316E-3</v>
      </c>
      <c r="E1148">
        <f t="shared" si="35"/>
        <v>6.2404206586569126E-4</v>
      </c>
    </row>
    <row r="1149" spans="1:5" x14ac:dyDescent="0.35">
      <c r="A1149" s="1">
        <f>Calculs!A1149</f>
        <v>45856</v>
      </c>
      <c r="B1149">
        <f>Calculs!B1149</f>
        <v>3353</v>
      </c>
      <c r="C1149">
        <f>Calculs!C1149</f>
        <v>1.2455161587252825</v>
      </c>
      <c r="D1149">
        <f t="shared" si="34"/>
        <v>3.8546915863960779E-3</v>
      </c>
      <c r="E1149">
        <f t="shared" si="35"/>
        <v>-2.4441707337604988E-3</v>
      </c>
    </row>
    <row r="1150" spans="1:5" x14ac:dyDescent="0.35">
      <c r="A1150" s="1">
        <f>Calculs!A1150</f>
        <v>45859</v>
      </c>
      <c r="B1150">
        <f>Calculs!B1150</f>
        <v>3401.89990234375</v>
      </c>
      <c r="C1150">
        <f>Calculs!C1150</f>
        <v>1.248158957621766</v>
      </c>
      <c r="D1150">
        <f t="shared" si="34"/>
        <v>1.447860287732854E-2</v>
      </c>
      <c r="E1150">
        <f t="shared" si="35"/>
        <v>2.1196024041814643E-3</v>
      </c>
    </row>
    <row r="1151" spans="1:5" x14ac:dyDescent="0.35">
      <c r="A1151" s="1">
        <f>Calculs!A1151</f>
        <v>45860</v>
      </c>
      <c r="B1151">
        <f>Calculs!B1151</f>
        <v>3439.199951171875</v>
      </c>
      <c r="C1151">
        <f>Calculs!C1151</f>
        <v>1.2530009048795083</v>
      </c>
      <c r="D1151">
        <f t="shared" si="34"/>
        <v>1.0904801640990577E-2</v>
      </c>
      <c r="E1151">
        <f t="shared" si="35"/>
        <v>3.871766358452313E-3</v>
      </c>
    </row>
    <row r="1152" spans="1:5" x14ac:dyDescent="0.35">
      <c r="A1152" s="1">
        <f>Calculs!A1152</f>
        <v>45861</v>
      </c>
      <c r="B1152">
        <f>Calculs!B1152</f>
        <v>3394.10009765625</v>
      </c>
      <c r="C1152">
        <f>Calculs!C1152</f>
        <v>1.2600330066267105</v>
      </c>
      <c r="D1152">
        <f t="shared" si="34"/>
        <v>-1.3200213092493647E-2</v>
      </c>
      <c r="E1152">
        <f t="shared" si="35"/>
        <v>5.5965182717005535E-3</v>
      </c>
    </row>
    <row r="1153" spans="1:5" x14ac:dyDescent="0.35">
      <c r="A1153" s="1">
        <f>Calculs!A1153</f>
        <v>45862</v>
      </c>
      <c r="B1153">
        <f>Calculs!B1153</f>
        <v>3371</v>
      </c>
      <c r="C1153">
        <f>Calculs!C1153</f>
        <v>1.2625513005984794</v>
      </c>
      <c r="D1153">
        <f t="shared" si="34"/>
        <v>-6.8292226579931723E-3</v>
      </c>
      <c r="E1153">
        <f t="shared" si="35"/>
        <v>1.9965991234743023E-3</v>
      </c>
    </row>
    <row r="1154" spans="1:5" x14ac:dyDescent="0.35">
      <c r="A1154" s="1">
        <f>Calculs!A1154</f>
        <v>45863</v>
      </c>
      <c r="B1154">
        <f>Calculs!B1154</f>
        <v>3334</v>
      </c>
      <c r="C1154">
        <f>Calculs!C1154</f>
        <v>1.2580673269191747</v>
      </c>
      <c r="D1154">
        <f t="shared" si="34"/>
        <v>-1.1036651923321424E-2</v>
      </c>
      <c r="E1154">
        <f t="shared" si="35"/>
        <v>-3.5578396194332275E-3</v>
      </c>
    </row>
    <row r="1155" spans="1:5" x14ac:dyDescent="0.35">
      <c r="A1155" s="1">
        <f>Calculs!A1155</f>
        <v>45866</v>
      </c>
      <c r="B1155">
        <f>Calculs!B1155</f>
        <v>3309.10009765625</v>
      </c>
      <c r="C1155">
        <f>Calculs!C1155</f>
        <v>1.2572765149885785</v>
      </c>
      <c r="D1155">
        <f t="shared" si="34"/>
        <v>-7.4965057238816635E-3</v>
      </c>
      <c r="E1155">
        <f t="shared" si="35"/>
        <v>-6.2879034148434216E-4</v>
      </c>
    </row>
    <row r="1156" spans="1:5" x14ac:dyDescent="0.35">
      <c r="A1156" s="1">
        <f>Calculs!A1156</f>
        <v>45867</v>
      </c>
      <c r="B1156">
        <f>Calculs!B1156</f>
        <v>3323.39990234375</v>
      </c>
      <c r="C1156">
        <f>Calculs!C1156</f>
        <v>1.2451749627535906</v>
      </c>
      <c r="D1156">
        <f t="shared" ref="D1156:D1219" si="36">LN(B1156/B1155)</f>
        <v>4.3120472958143976E-3</v>
      </c>
      <c r="E1156">
        <f t="shared" ref="E1156:E1219" si="37">LN(C1156/C1155)</f>
        <v>-9.671833143196298E-3</v>
      </c>
    </row>
    <row r="1157" spans="1:5" x14ac:dyDescent="0.35">
      <c r="A1157" s="1">
        <f>Calculs!A1157</f>
        <v>45868</v>
      </c>
      <c r="B1157">
        <f>Calculs!B1157</f>
        <v>3295.800048828125</v>
      </c>
      <c r="C1157">
        <f>Calculs!C1157</f>
        <v>1.2415111831507708</v>
      </c>
      <c r="D1157">
        <f t="shared" si="36"/>
        <v>-8.3393804907852323E-3</v>
      </c>
      <c r="E1157">
        <f t="shared" si="37"/>
        <v>-2.9467186761383212E-3</v>
      </c>
    </row>
    <row r="1158" spans="1:5" x14ac:dyDescent="0.35">
      <c r="A1158" s="1">
        <f>Calculs!A1158</f>
        <v>45869</v>
      </c>
      <c r="B1158">
        <f>Calculs!B1158</f>
        <v>3293.199951171875</v>
      </c>
      <c r="C1158">
        <f>Calculs!C1158</f>
        <v>1.2296946508934723</v>
      </c>
      <c r="D1158">
        <f t="shared" si="36"/>
        <v>-7.8922379457010017E-4</v>
      </c>
      <c r="E1158">
        <f t="shared" si="37"/>
        <v>-9.5634464402409598E-3</v>
      </c>
    </row>
    <row r="1159" spans="1:5" x14ac:dyDescent="0.35">
      <c r="A1159" s="1">
        <f>Calculs!A1159</f>
        <v>45870</v>
      </c>
      <c r="B1159">
        <f>Calculs!B1159</f>
        <v>3347.699951171875</v>
      </c>
      <c r="C1159">
        <f>Calculs!C1159</f>
        <v>1.2286521777848602</v>
      </c>
      <c r="D1159">
        <f t="shared" si="36"/>
        <v>1.641380667687466E-2</v>
      </c>
      <c r="E1159">
        <f t="shared" si="37"/>
        <v>-8.4810911051073641E-4</v>
      </c>
    </row>
    <row r="1160" spans="1:5" x14ac:dyDescent="0.35">
      <c r="A1160" s="1">
        <f>Calculs!A1160</f>
        <v>45873</v>
      </c>
      <c r="B1160">
        <f>Calculs!B1160</f>
        <v>3374.39990234375</v>
      </c>
      <c r="C1160">
        <f>Calculs!C1160</f>
        <v>1.2437656650220485</v>
      </c>
      <c r="D1160">
        <f t="shared" si="36"/>
        <v>7.9439735099882548E-3</v>
      </c>
      <c r="E1160">
        <f t="shared" si="37"/>
        <v>1.2225826255712035E-2</v>
      </c>
    </row>
    <row r="1161" spans="1:5" x14ac:dyDescent="0.35">
      <c r="A1161" s="1">
        <f>Calculs!A1161</f>
        <v>45874</v>
      </c>
      <c r="B1161">
        <f>Calculs!B1161</f>
        <v>3381.89990234375</v>
      </c>
      <c r="C1161">
        <f>Calculs!C1161</f>
        <v>1.2390192163298814</v>
      </c>
      <c r="D1161">
        <f t="shared" si="36"/>
        <v>2.2201510582657955E-3</v>
      </c>
      <c r="E1161">
        <f t="shared" si="37"/>
        <v>-3.8234923292905267E-3</v>
      </c>
    </row>
    <row r="1162" spans="1:5" x14ac:dyDescent="0.35">
      <c r="A1162" s="1">
        <f>Calculs!A1162</f>
        <v>45875</v>
      </c>
      <c r="B1162">
        <f>Calculs!B1162</f>
        <v>3380</v>
      </c>
      <c r="C1162">
        <f>Calculs!C1162</f>
        <v>1.2392802383772161</v>
      </c>
      <c r="D1162">
        <f t="shared" si="36"/>
        <v>-5.6194336538091267E-4</v>
      </c>
      <c r="E1162">
        <f t="shared" si="37"/>
        <v>2.106460926696826E-4</v>
      </c>
    </row>
    <row r="1163" spans="1:5" x14ac:dyDescent="0.35">
      <c r="A1163" s="1">
        <f>Calculs!A1163</f>
        <v>45876</v>
      </c>
      <c r="B1163">
        <f>Calculs!B1163</f>
        <v>3400.300048828125</v>
      </c>
      <c r="C1163">
        <f>Calculs!C1163</f>
        <v>1.2406178237150394</v>
      </c>
      <c r="D1163">
        <f t="shared" si="36"/>
        <v>5.9879678887474761E-3</v>
      </c>
      <c r="E1163">
        <f t="shared" si="37"/>
        <v>1.0787422983066569E-3</v>
      </c>
    </row>
    <row r="1164" spans="1:5" x14ac:dyDescent="0.35">
      <c r="A1164" s="1">
        <f>Calculs!A1164</f>
        <v>45877</v>
      </c>
      <c r="B1164">
        <f>Calculs!B1164</f>
        <v>3439.10009765625</v>
      </c>
      <c r="C1164">
        <f>Calculs!C1164</f>
        <v>1.2411721775940123</v>
      </c>
      <c r="D1164">
        <f t="shared" si="36"/>
        <v>1.134616025997749E-2</v>
      </c>
      <c r="E1164">
        <f t="shared" si="37"/>
        <v>4.4673714367450453E-4</v>
      </c>
    </row>
    <row r="1165" spans="1:5" x14ac:dyDescent="0.35">
      <c r="A1165" s="1">
        <f>Calculs!A1165</f>
        <v>45880</v>
      </c>
      <c r="B1165">
        <f>Calculs!B1165</f>
        <v>3353.10009765625</v>
      </c>
      <c r="C1165">
        <f>Calculs!C1165</f>
        <v>1.2384360666442313</v>
      </c>
      <c r="D1165">
        <f t="shared" si="36"/>
        <v>-2.5324517441945554E-2</v>
      </c>
      <c r="E1165">
        <f t="shared" si="37"/>
        <v>-2.2068905978411633E-3</v>
      </c>
    </row>
    <row r="1166" spans="1:5" x14ac:dyDescent="0.35">
      <c r="A1166" s="1">
        <f>Calculs!A1166</f>
        <v>45881</v>
      </c>
      <c r="B1166">
        <f>Calculs!B1166</f>
        <v>3348.89990234375</v>
      </c>
      <c r="C1166">
        <f>Calculs!C1166</f>
        <v>1.2318304954924262</v>
      </c>
      <c r="D1166">
        <f t="shared" si="36"/>
        <v>-1.2534156557426127E-3</v>
      </c>
      <c r="E1166">
        <f t="shared" si="37"/>
        <v>-5.3480761933792365E-3</v>
      </c>
    </row>
    <row r="1167" spans="1:5" x14ac:dyDescent="0.35">
      <c r="A1167" s="1">
        <f>Calculs!A1167</f>
        <v>45882</v>
      </c>
      <c r="B1167">
        <f>Calculs!B1167</f>
        <v>3358.699951171875</v>
      </c>
      <c r="C1167">
        <f>Calculs!C1167</f>
        <v>1.240479312610145</v>
      </c>
      <c r="D1167">
        <f t="shared" si="36"/>
        <v>2.9220752624799888E-3</v>
      </c>
      <c r="E1167">
        <f t="shared" si="37"/>
        <v>6.9965765381126395E-3</v>
      </c>
    </row>
    <row r="1168" spans="1:5" x14ac:dyDescent="0.35">
      <c r="A1168" s="1">
        <f>Calculs!A1168</f>
        <v>45883</v>
      </c>
      <c r="B1168">
        <f>Calculs!B1168</f>
        <v>3335.199951171875</v>
      </c>
      <c r="C1168">
        <f>Calculs!C1168</f>
        <v>1.2426682811690219</v>
      </c>
      <c r="D1168">
        <f t="shared" si="36"/>
        <v>-7.0213468642332851E-3</v>
      </c>
      <c r="E1168">
        <f t="shared" si="37"/>
        <v>1.7630600221856469E-3</v>
      </c>
    </row>
    <row r="1169" spans="1:5" x14ac:dyDescent="0.35">
      <c r="A1169" s="1">
        <f>Calculs!A1169</f>
        <v>45884</v>
      </c>
      <c r="B1169">
        <f>Calculs!B1169</f>
        <v>3336</v>
      </c>
      <c r="C1169">
        <f>Calculs!C1169</f>
        <v>1.2383594638799988</v>
      </c>
      <c r="D1169">
        <f t="shared" si="36"/>
        <v>2.398515522892742E-4</v>
      </c>
      <c r="E1169">
        <f t="shared" si="37"/>
        <v>-3.4734167158285609E-3</v>
      </c>
    </row>
    <row r="1170" spans="1:5" x14ac:dyDescent="0.35">
      <c r="A1170" s="1">
        <f>Calculs!A1170</f>
        <v>45887</v>
      </c>
      <c r="B1170">
        <f>Calculs!B1170</f>
        <v>3331.699951171875</v>
      </c>
      <c r="C1170">
        <f>Calculs!C1170</f>
        <v>1.2397719209648002</v>
      </c>
      <c r="D1170">
        <f t="shared" si="36"/>
        <v>-1.2898149154139478E-3</v>
      </c>
      <c r="E1170">
        <f t="shared" si="37"/>
        <v>1.1399373305157683E-3</v>
      </c>
    </row>
    <row r="1171" spans="1:5" x14ac:dyDescent="0.35">
      <c r="A1171" s="1">
        <f>Calculs!A1171</f>
        <v>45888</v>
      </c>
      <c r="B1171">
        <f>Calculs!B1171</f>
        <v>3313.39990234375</v>
      </c>
      <c r="C1171">
        <f>Calculs!C1171</f>
        <v>1.2385281304748263</v>
      </c>
      <c r="D1171">
        <f t="shared" si="36"/>
        <v>-5.5078465319110641E-3</v>
      </c>
      <c r="E1171">
        <f t="shared" si="37"/>
        <v>-1.0037449611303389E-3</v>
      </c>
    </row>
    <row r="1172" spans="1:5" x14ac:dyDescent="0.35">
      <c r="A1172" s="1">
        <f>Calculs!A1172</f>
        <v>45889</v>
      </c>
      <c r="B1172">
        <f>Calculs!B1172</f>
        <v>3343.39990234375</v>
      </c>
      <c r="C1172">
        <f>Calculs!C1172</f>
        <v>1.2379761354154462</v>
      </c>
      <c r="D1172">
        <f t="shared" si="36"/>
        <v>9.0134010285528431E-3</v>
      </c>
      <c r="E1172">
        <f t="shared" si="37"/>
        <v>-4.457856795357169E-4</v>
      </c>
    </row>
    <row r="1173" spans="1:5" x14ac:dyDescent="0.35">
      <c r="A1173" s="1">
        <f>Calculs!A1173</f>
        <v>45890</v>
      </c>
      <c r="B1173">
        <f>Calculs!B1173</f>
        <v>3336.89990234375</v>
      </c>
      <c r="C1173">
        <f>Calculs!C1173</f>
        <v>1.2435645971494074</v>
      </c>
      <c r="D1173">
        <f t="shared" si="36"/>
        <v>-1.9460210593331287E-3</v>
      </c>
      <c r="E1173">
        <f t="shared" si="37"/>
        <v>4.5040334080061334E-3</v>
      </c>
    </row>
    <row r="1174" spans="1:5" x14ac:dyDescent="0.35">
      <c r="A1174" s="1">
        <f>Calculs!A1174</f>
        <v>45891</v>
      </c>
      <c r="B1174">
        <f>Calculs!B1174</f>
        <v>3374.39990234375</v>
      </c>
      <c r="C1174">
        <f>Calculs!C1174</f>
        <v>1.2365983891628292</v>
      </c>
      <c r="D1174">
        <f t="shared" si="36"/>
        <v>1.1175298783647576E-2</v>
      </c>
      <c r="E1174">
        <f t="shared" si="37"/>
        <v>-5.6175552529068419E-3</v>
      </c>
    </row>
    <row r="1175" spans="1:5" x14ac:dyDescent="0.35">
      <c r="A1175" s="1">
        <f>Calculs!A1175</f>
        <v>45894</v>
      </c>
      <c r="B1175">
        <f>Calculs!B1175</f>
        <v>3373.800048828125</v>
      </c>
      <c r="C1175">
        <f>Calculs!C1175</f>
        <v>1.2464787262172254</v>
      </c>
      <c r="D1175">
        <f t="shared" si="36"/>
        <v>-1.7778178523024962E-4</v>
      </c>
      <c r="E1175">
        <f t="shared" si="37"/>
        <v>7.958181515029002E-3</v>
      </c>
    </row>
    <row r="1176" spans="1:5" x14ac:dyDescent="0.35">
      <c r="A1176" s="1">
        <f>Calculs!A1176</f>
        <v>45895</v>
      </c>
      <c r="B1176">
        <f>Calculs!B1176</f>
        <v>3388.60009765625</v>
      </c>
      <c r="C1176">
        <f>Calculs!C1176</f>
        <v>1.2404331796853421</v>
      </c>
      <c r="D1176">
        <f t="shared" si="36"/>
        <v>4.3771655441112271E-3</v>
      </c>
      <c r="E1176">
        <f t="shared" si="37"/>
        <v>-4.8618999541437859E-3</v>
      </c>
    </row>
    <row r="1177" spans="1:5" x14ac:dyDescent="0.35">
      <c r="A1177" s="1">
        <f>Calculs!A1177</f>
        <v>45896</v>
      </c>
      <c r="B1177">
        <f>Calculs!B1177</f>
        <v>3404.60009765625</v>
      </c>
      <c r="C1177">
        <f>Calculs!C1177</f>
        <v>1.2441524955218279</v>
      </c>
      <c r="D1177">
        <f t="shared" si="36"/>
        <v>4.7106015210283785E-3</v>
      </c>
      <c r="E1177">
        <f t="shared" si="37"/>
        <v>2.9939145603073663E-3</v>
      </c>
    </row>
    <row r="1178" spans="1:5" x14ac:dyDescent="0.35">
      <c r="A1178" s="1">
        <f>Calculs!A1178</f>
        <v>45897</v>
      </c>
      <c r="B1178">
        <f>Calculs!B1178</f>
        <v>3431.800048828125</v>
      </c>
      <c r="C1178">
        <f>Calculs!C1178</f>
        <v>1.2476606014201448</v>
      </c>
      <c r="D1178">
        <f t="shared" si="36"/>
        <v>7.9574320155700335E-3</v>
      </c>
      <c r="E1178">
        <f t="shared" si="37"/>
        <v>2.8157073420725797E-3</v>
      </c>
    </row>
    <row r="1179" spans="1:5" x14ac:dyDescent="0.35">
      <c r="A1179" s="1">
        <f>Calculs!A1179</f>
        <v>45898</v>
      </c>
      <c r="B1179">
        <f>Calculs!B1179</f>
        <v>3473.699951171875</v>
      </c>
      <c r="C1179">
        <f>Calculs!C1179</f>
        <v>1.2475205133320579</v>
      </c>
      <c r="D1179">
        <f t="shared" si="36"/>
        <v>1.2135375150160638E-2</v>
      </c>
      <c r="E1179">
        <f t="shared" si="37"/>
        <v>-1.122869096802902E-4</v>
      </c>
    </row>
    <row r="1180" spans="1:5" x14ac:dyDescent="0.35">
      <c r="A1180" s="1">
        <f>Calculs!A1180</f>
        <v>45902</v>
      </c>
      <c r="B1180">
        <f>Calculs!B1180</f>
        <v>3549.39990234375</v>
      </c>
      <c r="C1180">
        <f>Calculs!C1180</f>
        <v>1.2497657045374992</v>
      </c>
      <c r="D1180">
        <f t="shared" si="36"/>
        <v>2.155825335719171E-2</v>
      </c>
      <c r="E1180">
        <f t="shared" si="37"/>
        <v>1.7981053147226277E-3</v>
      </c>
    </row>
    <row r="1181" spans="1:5" x14ac:dyDescent="0.35">
      <c r="A1181" s="1">
        <f>Calculs!A1181</f>
        <v>45903</v>
      </c>
      <c r="B1181">
        <f>Calculs!B1181</f>
        <v>3593.199951171875</v>
      </c>
      <c r="C1181">
        <f>Calculs!C1181</f>
        <v>1.2417886974628076</v>
      </c>
      <c r="D1181">
        <f t="shared" si="36"/>
        <v>1.2264609179004047E-2</v>
      </c>
      <c r="E1181">
        <f t="shared" si="37"/>
        <v>-6.4032592057326572E-3</v>
      </c>
    </row>
    <row r="1182" spans="1:5" x14ac:dyDescent="0.35">
      <c r="A1182" s="1">
        <f>Calculs!A1182</f>
        <v>45904</v>
      </c>
      <c r="B1182">
        <f>Calculs!B1182</f>
        <v>3565.800048828125</v>
      </c>
      <c r="C1182">
        <f>Calculs!C1182</f>
        <v>1.2440905901631127</v>
      </c>
      <c r="D1182">
        <f t="shared" si="36"/>
        <v>-7.6547104718895616E-3</v>
      </c>
      <c r="E1182">
        <f t="shared" si="37"/>
        <v>1.851975170061555E-3</v>
      </c>
    </row>
    <row r="1183" spans="1:5" x14ac:dyDescent="0.35">
      <c r="A1183" s="1">
        <f>Calculs!A1183</f>
        <v>45905</v>
      </c>
      <c r="B1183">
        <f>Calculs!B1183</f>
        <v>3613.199951171875</v>
      </c>
      <c r="C1183">
        <f>Calculs!C1183</f>
        <v>1.2420354401591964</v>
      </c>
      <c r="D1183">
        <f t="shared" si="36"/>
        <v>1.3205346467745164E-2</v>
      </c>
      <c r="E1183">
        <f t="shared" si="37"/>
        <v>-1.65329548621184E-3</v>
      </c>
    </row>
    <row r="1184" spans="1:5" x14ac:dyDescent="0.35">
      <c r="A1184" s="1">
        <f>Calculs!A1184</f>
        <v>45908</v>
      </c>
      <c r="B1184">
        <f>Calculs!B1184</f>
        <v>3638.10009765625</v>
      </c>
      <c r="C1184">
        <f>Calculs!C1184</f>
        <v>1.2512826096927845</v>
      </c>
      <c r="D1184">
        <f t="shared" si="36"/>
        <v>6.8678014116357704E-3</v>
      </c>
      <c r="E1184">
        <f t="shared" si="37"/>
        <v>7.4175951462940428E-3</v>
      </c>
    </row>
    <row r="1185" spans="1:5" x14ac:dyDescent="0.35">
      <c r="A1185" s="1">
        <f>Calculs!A1185</f>
        <v>45909</v>
      </c>
      <c r="B1185">
        <f>Calculs!B1185</f>
        <v>3643.300048828125</v>
      </c>
      <c r="C1185">
        <f>Calculs!C1185</f>
        <v>1.2613362233100984</v>
      </c>
      <c r="D1185">
        <f t="shared" si="36"/>
        <v>1.4282835584511465E-3</v>
      </c>
      <c r="E1185">
        <f t="shared" si="37"/>
        <v>8.0025407264638238E-3</v>
      </c>
    </row>
    <row r="1186" spans="1:5" x14ac:dyDescent="0.35">
      <c r="A1186" s="1">
        <f>Calculs!A1186</f>
        <v>45910</v>
      </c>
      <c r="B1186">
        <f>Calculs!B1186</f>
        <v>3643.60009765625</v>
      </c>
      <c r="C1186">
        <f>Calculs!C1186</f>
        <v>1.254233066202648</v>
      </c>
      <c r="D1186">
        <f t="shared" si="36"/>
        <v>8.2352940828917364E-5</v>
      </c>
      <c r="E1186">
        <f t="shared" si="37"/>
        <v>-5.6473705696338476E-3</v>
      </c>
    </row>
    <row r="1187" spans="1:5" x14ac:dyDescent="0.35">
      <c r="A1187" s="1">
        <f>Calculs!A1187</f>
        <v>45911</v>
      </c>
      <c r="B1187">
        <f>Calculs!B1187</f>
        <v>3636.89990234375</v>
      </c>
      <c r="C1187">
        <f>Calculs!C1187</f>
        <v>1.2520815952345539</v>
      </c>
      <c r="D1187">
        <f t="shared" si="36"/>
        <v>-1.840587103648067E-3</v>
      </c>
      <c r="E1187">
        <f t="shared" si="37"/>
        <v>-1.716840690165272E-3</v>
      </c>
    </row>
    <row r="1188" spans="1:5" x14ac:dyDescent="0.35">
      <c r="A1188" s="1">
        <f>Calculs!A1188</f>
        <v>45912</v>
      </c>
      <c r="B1188">
        <f>Calculs!B1188</f>
        <v>3649.39990234375</v>
      </c>
      <c r="C1188">
        <f>Calculs!C1188</f>
        <v>1.2563603312159626</v>
      </c>
      <c r="D1188">
        <f t="shared" si="36"/>
        <v>3.4311001737597525E-3</v>
      </c>
      <c r="E1188">
        <f t="shared" si="37"/>
        <v>3.4114723454447063E-3</v>
      </c>
    </row>
    <row r="1189" spans="1:5" x14ac:dyDescent="0.35">
      <c r="A1189" s="1">
        <f>Calculs!A1189</f>
        <v>45915</v>
      </c>
      <c r="B1189">
        <f>Calculs!B1189</f>
        <v>3682.199951171875</v>
      </c>
      <c r="C1189">
        <f>Calculs!C1189</f>
        <v>1.2551776064294911</v>
      </c>
      <c r="D1189">
        <f t="shared" si="36"/>
        <v>8.947642619622902E-3</v>
      </c>
      <c r="E1189">
        <f t="shared" si="37"/>
        <v>-9.4183317414527263E-4</v>
      </c>
    </row>
    <row r="1190" spans="1:5" x14ac:dyDescent="0.35">
      <c r="A1190" s="1">
        <f>Calculs!A1190</f>
        <v>45916</v>
      </c>
      <c r="B1190">
        <f>Calculs!B1190</f>
        <v>3688.89990234375</v>
      </c>
      <c r="C1190">
        <f>Calculs!C1190</f>
        <v>1.2583998628281552</v>
      </c>
      <c r="D1190">
        <f t="shared" si="36"/>
        <v>1.8178977764950366E-3</v>
      </c>
      <c r="E1190">
        <f t="shared" si="37"/>
        <v>2.5638821187704622E-3</v>
      </c>
    </row>
    <row r="1191" spans="1:5" x14ac:dyDescent="0.35">
      <c r="A1191" s="1">
        <f>Calculs!A1191</f>
        <v>45917</v>
      </c>
      <c r="B1191">
        <f>Calculs!B1191</f>
        <v>3681.800048828125</v>
      </c>
      <c r="C1191">
        <f>Calculs!C1191</f>
        <v>1.2724103101449773</v>
      </c>
      <c r="D1191">
        <f t="shared" si="36"/>
        <v>-1.9265078645296421E-3</v>
      </c>
      <c r="E1191">
        <f t="shared" si="37"/>
        <v>1.1072020014863248E-2</v>
      </c>
    </row>
    <row r="1192" spans="1:5" x14ac:dyDescent="0.35">
      <c r="A1192" s="1">
        <f>Calculs!A1192</f>
        <v>45918</v>
      </c>
      <c r="B1192">
        <f>Calculs!B1192</f>
        <v>3643.699951171875</v>
      </c>
      <c r="C1192">
        <f>Calculs!C1192</f>
        <v>1.2684882600000755</v>
      </c>
      <c r="D1192">
        <f t="shared" si="36"/>
        <v>-1.040214079746196E-2</v>
      </c>
      <c r="E1192">
        <f t="shared" si="37"/>
        <v>-3.087138783015662E-3</v>
      </c>
    </row>
    <row r="1193" spans="1:5" x14ac:dyDescent="0.35">
      <c r="A1193" s="1">
        <f>Calculs!A1193</f>
        <v>45919</v>
      </c>
      <c r="B1193">
        <f>Calculs!B1193</f>
        <v>3671.5</v>
      </c>
      <c r="C1193">
        <f>Calculs!C1193</f>
        <v>1.2618137739674407</v>
      </c>
      <c r="D1193">
        <f t="shared" si="36"/>
        <v>7.6006624146401228E-3</v>
      </c>
      <c r="E1193">
        <f t="shared" si="37"/>
        <v>-5.2756559680929216E-3</v>
      </c>
    </row>
    <row r="1194" spans="1:5" x14ac:dyDescent="0.35">
      <c r="A1194" s="1">
        <f>Calculs!A1194</f>
        <v>45922</v>
      </c>
      <c r="B1194">
        <f>Calculs!B1194</f>
        <v>3740.699951171875</v>
      </c>
      <c r="C1194">
        <f>Calculs!C1194</f>
        <v>1.2559184873956499</v>
      </c>
      <c r="D1194">
        <f t="shared" si="36"/>
        <v>1.8672448725779663E-2</v>
      </c>
      <c r="E1194">
        <f t="shared" si="37"/>
        <v>-4.683021651056044E-3</v>
      </c>
    </row>
    <row r="1195" spans="1:5" x14ac:dyDescent="0.35">
      <c r="A1195" s="1">
        <f>Calculs!A1195</f>
        <v>45923</v>
      </c>
      <c r="B1195">
        <f>Calculs!B1195</f>
        <v>3780.60009765625</v>
      </c>
      <c r="C1195">
        <f>Calculs!C1195</f>
        <v>1.2620048385381242</v>
      </c>
      <c r="D1195">
        <f t="shared" si="36"/>
        <v>1.0610006389506373E-2</v>
      </c>
      <c r="E1195">
        <f t="shared" si="37"/>
        <v>4.8344307658806686E-3</v>
      </c>
    </row>
    <row r="1196" spans="1:5" x14ac:dyDescent="0.35">
      <c r="A1196" s="1">
        <f>Calculs!A1196</f>
        <v>45924</v>
      </c>
      <c r="B1196">
        <f>Calculs!B1196</f>
        <v>3732.10009765625</v>
      </c>
      <c r="C1196">
        <f>Calculs!C1196</f>
        <v>1.263535630989987</v>
      </c>
      <c r="D1196">
        <f t="shared" si="36"/>
        <v>-1.2911648948105771E-2</v>
      </c>
      <c r="E1196">
        <f t="shared" si="37"/>
        <v>1.2122495424619832E-3</v>
      </c>
    </row>
    <row r="1197" spans="1:5" x14ac:dyDescent="0.35">
      <c r="A1197" s="1">
        <f>Calculs!A1197</f>
        <v>45925</v>
      </c>
      <c r="B1197">
        <f>Calculs!B1197</f>
        <v>3736.89990234375</v>
      </c>
      <c r="C1197">
        <f>Calculs!C1197</f>
        <v>1.2583998628281552</v>
      </c>
      <c r="D1197">
        <f t="shared" si="36"/>
        <v>1.285260502940439E-3</v>
      </c>
      <c r="E1197">
        <f t="shared" si="37"/>
        <v>-4.0728839210411325E-3</v>
      </c>
    </row>
    <row r="1198" spans="1:5" x14ac:dyDescent="0.35">
      <c r="A1198" s="1">
        <f>Calculs!A1198</f>
        <v>45926</v>
      </c>
      <c r="B1198">
        <f>Calculs!B1198</f>
        <v>3775.300048828125</v>
      </c>
      <c r="C1198">
        <f>Calculs!C1198</f>
        <v>1.2499374927546727</v>
      </c>
      <c r="D1198">
        <f t="shared" si="36"/>
        <v>1.0223498096000606E-2</v>
      </c>
      <c r="E1198">
        <f t="shared" si="37"/>
        <v>-6.7474194893461705E-3</v>
      </c>
    </row>
    <row r="1199" spans="1:5" x14ac:dyDescent="0.35">
      <c r="A1199" s="1">
        <f>Calculs!A1199</f>
        <v>45929</v>
      </c>
      <c r="B1199">
        <f>Calculs!B1199</f>
        <v>3820.89990234375</v>
      </c>
      <c r="C1199">
        <f>Calculs!C1199</f>
        <v>1.2539499625322152</v>
      </c>
      <c r="D1199">
        <f t="shared" si="36"/>
        <v>1.2006108728818521E-2</v>
      </c>
      <c r="E1199">
        <f t="shared" si="37"/>
        <v>3.2049948600853767E-3</v>
      </c>
    </row>
    <row r="1200" spans="1:5" x14ac:dyDescent="0.35">
      <c r="A1200" s="1">
        <f>Calculs!A1200</f>
        <v>45930</v>
      </c>
      <c r="B1200">
        <f>Calculs!B1200</f>
        <v>3840.800048828125</v>
      </c>
      <c r="C1200">
        <f>Calculs!C1200</f>
        <v>1.2543903283167588</v>
      </c>
      <c r="D1200">
        <f t="shared" si="36"/>
        <v>5.1947195431346644E-3</v>
      </c>
      <c r="E1200">
        <f t="shared" si="37"/>
        <v>3.5112124991532138E-4</v>
      </c>
    </row>
    <row r="1201" spans="1:5" x14ac:dyDescent="0.35">
      <c r="A1201" s="1">
        <f>Calculs!A1201</f>
        <v>45931</v>
      </c>
      <c r="B1201">
        <f>Calculs!B1201</f>
        <v>3867.5</v>
      </c>
      <c r="C1201">
        <f>Calculs!C1201</f>
        <v>1.255965873382872</v>
      </c>
      <c r="D1201">
        <f t="shared" si="36"/>
        <v>6.9276125174816284E-3</v>
      </c>
      <c r="E1201">
        <f t="shared" si="37"/>
        <v>1.2552364257455036E-3</v>
      </c>
    </row>
    <row r="1202" spans="1:5" x14ac:dyDescent="0.35">
      <c r="A1202" s="1">
        <f>Calculs!A1202</f>
        <v>45932</v>
      </c>
      <c r="B1202">
        <f>Calculs!B1202</f>
        <v>3839.699951171875</v>
      </c>
      <c r="C1202">
        <f>Calculs!C1202</f>
        <v>1.2548468649539029</v>
      </c>
      <c r="D1202">
        <f t="shared" si="36"/>
        <v>-7.2140776340165556E-3</v>
      </c>
      <c r="E1202">
        <f t="shared" si="37"/>
        <v>-8.9135162170540046E-4</v>
      </c>
    </row>
    <row r="1203" spans="1:5" x14ac:dyDescent="0.35">
      <c r="A1203" s="1">
        <f>Calculs!A1203</f>
        <v>45933</v>
      </c>
      <c r="B1203">
        <f>Calculs!B1203</f>
        <v>3880.800048828125</v>
      </c>
      <c r="C1203">
        <f>Calculs!C1203</f>
        <v>1.2546736308869046</v>
      </c>
      <c r="D1203">
        <f t="shared" si="36"/>
        <v>1.0647104699776156E-2</v>
      </c>
      <c r="E1203">
        <f t="shared" si="37"/>
        <v>-1.3806148828870689E-4</v>
      </c>
    </row>
    <row r="1204" spans="1:5" x14ac:dyDescent="0.35">
      <c r="A1204" s="1">
        <f>Calculs!A1204</f>
        <v>45936</v>
      </c>
      <c r="B1204">
        <f>Calculs!B1204</f>
        <v>3948.5</v>
      </c>
      <c r="C1204">
        <f>Calculs!C1204</f>
        <v>1.2544060848342036</v>
      </c>
      <c r="D1204">
        <f t="shared" si="36"/>
        <v>1.7294429424654912E-2</v>
      </c>
      <c r="E1204">
        <f t="shared" si="37"/>
        <v>-2.1326229855411966E-4</v>
      </c>
    </row>
    <row r="1205" spans="1:5" x14ac:dyDescent="0.35">
      <c r="A1205" s="1">
        <f>Calculs!A1205</f>
        <v>45937</v>
      </c>
      <c r="B1205">
        <f>Calculs!B1205</f>
        <v>3976.60009765625</v>
      </c>
      <c r="C1205">
        <f>Calculs!C1205</f>
        <v>1.2580040291302503</v>
      </c>
      <c r="D1205">
        <f t="shared" si="36"/>
        <v>7.0914474440700913E-3</v>
      </c>
      <c r="E1205">
        <f t="shared" si="37"/>
        <v>2.8641396845458609E-3</v>
      </c>
    </row>
    <row r="1206" spans="1:5" x14ac:dyDescent="0.35">
      <c r="A1206" s="1">
        <f>Calculs!A1206</f>
        <v>45938</v>
      </c>
      <c r="B1206">
        <f>Calculs!B1206</f>
        <v>4043.300048828125</v>
      </c>
      <c r="C1206">
        <f>Calculs!C1206</f>
        <v>1.2522070078952139</v>
      </c>
      <c r="D1206">
        <f t="shared" si="36"/>
        <v>1.6633994907520277E-2</v>
      </c>
      <c r="E1206">
        <f t="shared" si="37"/>
        <v>-4.6187602995570766E-3</v>
      </c>
    </row>
    <row r="1207" spans="1:5" x14ac:dyDescent="0.35">
      <c r="A1207" s="1">
        <f>Calculs!A1207</f>
        <v>45939</v>
      </c>
      <c r="B1207">
        <f>Calculs!B1207</f>
        <v>3946.300048828125</v>
      </c>
      <c r="C1207">
        <f>Calculs!C1207</f>
        <v>1.2476606014201448</v>
      </c>
      <c r="D1207">
        <f t="shared" si="36"/>
        <v>-2.4282758867578195E-2</v>
      </c>
      <c r="E1207">
        <f t="shared" si="37"/>
        <v>-3.6373218090280054E-3</v>
      </c>
    </row>
    <row r="1208" spans="1:5" x14ac:dyDescent="0.35">
      <c r="A1208" s="1">
        <f>Calculs!A1208</f>
        <v>45940</v>
      </c>
      <c r="B1208">
        <f>Calculs!B1208</f>
        <v>3975.89990234375</v>
      </c>
      <c r="C1208">
        <f>Calculs!C1208</f>
        <v>1.2404331796853421</v>
      </c>
      <c r="D1208">
        <f t="shared" si="36"/>
        <v>7.4726695710458178E-3</v>
      </c>
      <c r="E1208">
        <f t="shared" si="37"/>
        <v>-5.8096219023799217E-3</v>
      </c>
    </row>
    <row r="1209" spans="1:5" x14ac:dyDescent="0.35">
      <c r="A1209" s="1">
        <f>Calculs!A1209</f>
        <v>45943</v>
      </c>
      <c r="B1209">
        <f>Calculs!B1209</f>
        <v>4108.60009765625</v>
      </c>
      <c r="C1209">
        <f>Calculs!C1209</f>
        <v>1.2463854766499445</v>
      </c>
      <c r="D1209">
        <f t="shared" si="36"/>
        <v>3.2831248634458091E-2</v>
      </c>
      <c r="E1209">
        <f t="shared" si="37"/>
        <v>4.7870867595724157E-3</v>
      </c>
    </row>
    <row r="1210" spans="1:5" x14ac:dyDescent="0.35">
      <c r="A1210" s="1">
        <f>Calculs!A1210</f>
        <v>45944</v>
      </c>
      <c r="B1210">
        <f>Calculs!B1210</f>
        <v>4138.7001953125</v>
      </c>
      <c r="C1210">
        <f>Calculs!C1210</f>
        <v>1.2433326339970654</v>
      </c>
      <c r="D1210">
        <f t="shared" si="36"/>
        <v>7.2994144107656573E-3</v>
      </c>
      <c r="E1210">
        <f t="shared" si="37"/>
        <v>-2.4523613093595576E-3</v>
      </c>
    </row>
    <row r="1211" spans="1:5" x14ac:dyDescent="0.35">
      <c r="A1211" s="1">
        <f>Calculs!A1211</f>
        <v>45945</v>
      </c>
      <c r="B1211">
        <f>Calculs!B1211</f>
        <v>4176.89990234375</v>
      </c>
      <c r="C1211">
        <f>Calculs!C1211</f>
        <v>1.2476139328208293</v>
      </c>
      <c r="D1211">
        <f t="shared" si="36"/>
        <v>9.1875451653533977E-3</v>
      </c>
      <c r="E1211">
        <f t="shared" si="37"/>
        <v>3.4374908691896032E-3</v>
      </c>
    </row>
    <row r="1212" spans="1:5" x14ac:dyDescent="0.35">
      <c r="A1212" s="1">
        <f>Calculs!A1212</f>
        <v>45946</v>
      </c>
      <c r="B1212">
        <f>Calculs!B1212</f>
        <v>4280.2001953125</v>
      </c>
      <c r="C1212">
        <f>Calculs!C1212</f>
        <v>1.2554140107847334</v>
      </c>
      <c r="D1212">
        <f t="shared" si="36"/>
        <v>2.4430461884398309E-2</v>
      </c>
      <c r="E1212">
        <f t="shared" si="37"/>
        <v>6.2325338660143602E-3</v>
      </c>
    </row>
    <row r="1213" spans="1:5" x14ac:dyDescent="0.35">
      <c r="A1213" s="1">
        <f>Calculs!A1213</f>
        <v>45947</v>
      </c>
      <c r="B1213">
        <f>Calculs!B1213</f>
        <v>4189.89990234375</v>
      </c>
      <c r="C1213">
        <f>Calculs!C1213</f>
        <v>1.2628973338734031</v>
      </c>
      <c r="D1213">
        <f t="shared" si="36"/>
        <v>-2.1322939112277551E-2</v>
      </c>
      <c r="E1213">
        <f t="shared" si="37"/>
        <v>5.9431452993717283E-3</v>
      </c>
    </row>
    <row r="1214" spans="1:5" x14ac:dyDescent="0.35">
      <c r="A1214" s="1">
        <f>Calculs!A1214</f>
        <v>45950</v>
      </c>
      <c r="B1214">
        <f>Calculs!B1214</f>
        <v>4336.39990234375</v>
      </c>
      <c r="C1214">
        <f>Calculs!C1214</f>
        <v>1.2600965087656959</v>
      </c>
      <c r="D1214">
        <f t="shared" si="36"/>
        <v>3.436764429162454E-2</v>
      </c>
      <c r="E1214">
        <f t="shared" si="37"/>
        <v>-2.2202402644987984E-3</v>
      </c>
    </row>
    <row r="1215" spans="1:5" x14ac:dyDescent="0.35">
      <c r="A1215" s="1">
        <f>Calculs!A1215</f>
        <v>45951</v>
      </c>
      <c r="B1215">
        <f>Calculs!B1215</f>
        <v>4087.699951171875</v>
      </c>
      <c r="C1215">
        <f>Calculs!C1215</f>
        <v>1.2619888905487524</v>
      </c>
      <c r="D1215">
        <f t="shared" si="36"/>
        <v>-5.9062035540049886E-2</v>
      </c>
      <c r="E1215">
        <f t="shared" si="37"/>
        <v>1.5006487398875204E-3</v>
      </c>
    </row>
    <row r="1216" spans="1:5" x14ac:dyDescent="0.35">
      <c r="A1216" s="1">
        <f>Calculs!A1216</f>
        <v>45952</v>
      </c>
      <c r="B1216">
        <f>Calculs!B1216</f>
        <v>4044.39990234375</v>
      </c>
      <c r="C1216">
        <f>Calculs!C1216</f>
        <v>1.2551776064294911</v>
      </c>
      <c r="D1216">
        <f t="shared" si="36"/>
        <v>-1.0649268655763889E-2</v>
      </c>
      <c r="E1216">
        <f t="shared" si="37"/>
        <v>-5.4118793903803215E-3</v>
      </c>
    </row>
    <row r="1217" spans="1:5" x14ac:dyDescent="0.35">
      <c r="A1217" s="1">
        <f>Calculs!A1217</f>
        <v>45953</v>
      </c>
      <c r="B1217">
        <f>Calculs!B1217</f>
        <v>4125.5</v>
      </c>
      <c r="C1217">
        <f>Calculs!C1217</f>
        <v>1.2561393704514481</v>
      </c>
      <c r="D1217">
        <f t="shared" si="36"/>
        <v>1.9854040473195667E-2</v>
      </c>
      <c r="E1217">
        <f t="shared" si="37"/>
        <v>7.6594398702424646E-4</v>
      </c>
    </row>
    <row r="1218" spans="1:5" x14ac:dyDescent="0.35">
      <c r="A1218" s="1">
        <f>Calculs!A1218</f>
        <v>45954</v>
      </c>
      <c r="B1218">
        <f>Calculs!B1218</f>
        <v>4118.39990234375</v>
      </c>
      <c r="C1218">
        <f>Calculs!C1218</f>
        <v>1.2577350609994027</v>
      </c>
      <c r="D1218">
        <f t="shared" si="36"/>
        <v>-1.7225098547725875E-3</v>
      </c>
      <c r="E1218">
        <f t="shared" si="37"/>
        <v>1.26950713392747E-3</v>
      </c>
    </row>
    <row r="1219" spans="1:5" x14ac:dyDescent="0.35">
      <c r="A1219" s="1">
        <f>Calculs!A1219</f>
        <v>45957</v>
      </c>
      <c r="B1219">
        <f>Calculs!B1219</f>
        <v>4001.89990234375</v>
      </c>
      <c r="C1219">
        <f>Calculs!C1219</f>
        <v>1.2562024807302279</v>
      </c>
      <c r="D1219">
        <f t="shared" si="36"/>
        <v>-2.8695490766858036E-2</v>
      </c>
      <c r="E1219">
        <f t="shared" si="37"/>
        <v>-1.2192669337226035E-3</v>
      </c>
    </row>
    <row r="1220" spans="1:5" x14ac:dyDescent="0.35">
      <c r="A1220" s="1">
        <f>Calculs!A1220</f>
        <v>45958</v>
      </c>
      <c r="B1220">
        <f>Calculs!B1220</f>
        <v>3966.199951171875</v>
      </c>
      <c r="C1220">
        <f>Calculs!C1220</f>
        <v>1.2584789650615873</v>
      </c>
      <c r="D1220">
        <f t="shared" ref="D1220:D1258" si="38">LN(B1220/B1219)</f>
        <v>-8.9607787820975386E-3</v>
      </c>
      <c r="E1220">
        <f t="shared" ref="E1220:E1258" si="39">LN(C1220/C1219)</f>
        <v>1.8105553345928497E-3</v>
      </c>
    </row>
    <row r="1221" spans="1:5" x14ac:dyDescent="0.35">
      <c r="A1221" s="1">
        <f>Calculs!A1221</f>
        <v>45959</v>
      </c>
      <c r="B1221">
        <f>Calculs!B1221</f>
        <v>3983.699951171875</v>
      </c>
      <c r="C1221">
        <f>Calculs!C1221</f>
        <v>1.261304456346211</v>
      </c>
      <c r="D1221">
        <f t="shared" si="38"/>
        <v>4.4025782667433981E-3</v>
      </c>
      <c r="E1221">
        <f t="shared" si="39"/>
        <v>2.2426470821616615E-3</v>
      </c>
    </row>
    <row r="1222" spans="1:5" x14ac:dyDescent="0.35">
      <c r="A1222" s="1">
        <f>Calculs!A1222</f>
        <v>45960</v>
      </c>
      <c r="B1222">
        <f>Calculs!B1222</f>
        <v>4001.300048828125</v>
      </c>
      <c r="C1222">
        <f>Calculs!C1222</f>
        <v>1.2503126113907475</v>
      </c>
      <c r="D1222">
        <f t="shared" si="38"/>
        <v>4.4082970966196717E-3</v>
      </c>
      <c r="E1222">
        <f t="shared" si="39"/>
        <v>-8.7528590824370398E-3</v>
      </c>
    </row>
    <row r="1223" spans="1:5" x14ac:dyDescent="0.35">
      <c r="A1223" s="1">
        <f>Calculs!A1223</f>
        <v>45961</v>
      </c>
      <c r="B1223">
        <f>Calculs!B1223</f>
        <v>3982.199951171875</v>
      </c>
      <c r="C1223">
        <f>Calculs!C1223</f>
        <v>1.2475205133320579</v>
      </c>
      <c r="D1223">
        <f t="shared" si="38"/>
        <v>-4.7849023856938715E-3</v>
      </c>
      <c r="E1223">
        <f t="shared" si="39"/>
        <v>-2.2356170986437196E-3</v>
      </c>
    </row>
    <row r="1224" spans="1:5" x14ac:dyDescent="0.35">
      <c r="A1224" s="1">
        <f>Calculs!A1224</f>
        <v>45964</v>
      </c>
      <c r="B1224">
        <f>Calculs!B1224</f>
        <v>4000.300048828125</v>
      </c>
      <c r="C1224">
        <f>Calculs!C1224</f>
        <v>1.2423903736238966</v>
      </c>
      <c r="D1224">
        <f t="shared" si="38"/>
        <v>4.5349523774452045E-3</v>
      </c>
      <c r="E1224">
        <f t="shared" si="39"/>
        <v>-4.1207474487716137E-3</v>
      </c>
    </row>
    <row r="1225" spans="1:5" x14ac:dyDescent="0.35">
      <c r="A1225" s="1">
        <f>Calculs!A1225</f>
        <v>45965</v>
      </c>
      <c r="B1225">
        <f>Calculs!B1225</f>
        <v>3947.699951171875</v>
      </c>
      <c r="C1225">
        <f>Calculs!C1225</f>
        <v>1.2374246321701776</v>
      </c>
      <c r="D1225">
        <f t="shared" si="38"/>
        <v>-1.3236252040332198E-2</v>
      </c>
      <c r="E1225">
        <f t="shared" si="39"/>
        <v>-4.0049343031221948E-3</v>
      </c>
    </row>
    <row r="1226" spans="1:5" x14ac:dyDescent="0.35">
      <c r="A1226" s="1">
        <f>Calculs!A1226</f>
        <v>45966</v>
      </c>
      <c r="B1226">
        <f>Calculs!B1226</f>
        <v>3980.300048828125</v>
      </c>
      <c r="C1226">
        <f>Calculs!C1226</f>
        <v>1.2340651740140423</v>
      </c>
      <c r="D1226">
        <f t="shared" si="38"/>
        <v>8.2240871342075354E-3</v>
      </c>
      <c r="E1226">
        <f t="shared" si="39"/>
        <v>-2.7185709742934285E-3</v>
      </c>
    </row>
    <row r="1227" spans="1:5" x14ac:dyDescent="0.35">
      <c r="A1227" s="1">
        <f>Calculs!A1227</f>
        <v>45967</v>
      </c>
      <c r="B1227">
        <f>Calculs!B1227</f>
        <v>3979.89990234375</v>
      </c>
      <c r="C1227">
        <f>Calculs!C1227</f>
        <v>1.234979571240812</v>
      </c>
      <c r="D1227">
        <f t="shared" si="38"/>
        <v>-1.005367923334668E-4</v>
      </c>
      <c r="E1227">
        <f t="shared" si="39"/>
        <v>7.4068910280538009E-4</v>
      </c>
    </row>
    <row r="1228" spans="1:5" x14ac:dyDescent="0.35">
      <c r="A1228" s="1">
        <f>Calculs!A1228</f>
        <v>45968</v>
      </c>
      <c r="B1228">
        <f>Calculs!B1228</f>
        <v>3999.39990234375</v>
      </c>
      <c r="C1228">
        <f>Calculs!C1228</f>
        <v>1.240848774898567</v>
      </c>
      <c r="D1228">
        <f t="shared" si="38"/>
        <v>4.8876566358512907E-3</v>
      </c>
      <c r="E1228">
        <f t="shared" si="39"/>
        <v>4.7412129047132287E-3</v>
      </c>
    </row>
    <row r="1229" spans="1:5" x14ac:dyDescent="0.35">
      <c r="A1229" s="1">
        <f>Calculs!A1229</f>
        <v>45971</v>
      </c>
      <c r="B1229">
        <f>Calculs!B1229</f>
        <v>4111.7998046875</v>
      </c>
      <c r="C1229">
        <f>Calculs!C1229</f>
        <v>1.2390192163298814</v>
      </c>
      <c r="D1229">
        <f t="shared" si="38"/>
        <v>2.7716515886168476E-2</v>
      </c>
      <c r="E1229">
        <f t="shared" si="39"/>
        <v>-1.4755292677656932E-3</v>
      </c>
    </row>
    <row r="1230" spans="1:5" x14ac:dyDescent="0.35">
      <c r="A1230" s="1">
        <f>Calculs!A1230</f>
        <v>45972</v>
      </c>
      <c r="B1230">
        <f>Calculs!B1230</f>
        <v>4106.7998046875</v>
      </c>
      <c r="C1230">
        <f>Calculs!C1230</f>
        <v>1.2419891914204428</v>
      </c>
      <c r="D1230">
        <f t="shared" si="38"/>
        <v>-1.2167524528548244E-3</v>
      </c>
      <c r="E1230">
        <f t="shared" si="39"/>
        <v>2.394168838729211E-3</v>
      </c>
    </row>
    <row r="1231" spans="1:5" x14ac:dyDescent="0.35">
      <c r="A1231" s="1">
        <f>Calculs!A1231</f>
        <v>45973</v>
      </c>
      <c r="B1231">
        <f>Calculs!B1231</f>
        <v>4204.39990234375</v>
      </c>
      <c r="C1231">
        <f>Calculs!C1231</f>
        <v>1.2494846137822553</v>
      </c>
      <c r="D1231">
        <f t="shared" si="38"/>
        <v>2.3487483855553541E-2</v>
      </c>
      <c r="E1231">
        <f t="shared" si="39"/>
        <v>6.0168764039080303E-3</v>
      </c>
    </row>
    <row r="1232" spans="1:5" x14ac:dyDescent="0.35">
      <c r="A1232" s="1">
        <f>Calculs!A1232</f>
        <v>45974</v>
      </c>
      <c r="B1232">
        <f>Calculs!B1232</f>
        <v>4186.89990234375</v>
      </c>
      <c r="C1232">
        <f>Calculs!C1232</f>
        <v>1.253415601323193</v>
      </c>
      <c r="D1232">
        <f t="shared" si="38"/>
        <v>-4.1709927611227639E-3</v>
      </c>
      <c r="E1232">
        <f t="shared" si="39"/>
        <v>3.1411486158391361E-3</v>
      </c>
    </row>
    <row r="1233" spans="1:5" x14ac:dyDescent="0.35">
      <c r="A1233" s="1">
        <f>Calculs!A1233</f>
        <v>45975</v>
      </c>
      <c r="B1233">
        <f>Calculs!B1233</f>
        <v>4087.60009765625</v>
      </c>
      <c r="C1233">
        <f>Calculs!C1233</f>
        <v>1.2606048511134911</v>
      </c>
      <c r="D1233">
        <f t="shared" si="38"/>
        <v>-2.4002555332014903E-2</v>
      </c>
      <c r="E1233">
        <f t="shared" si="39"/>
        <v>5.7193404139001102E-3</v>
      </c>
    </row>
    <row r="1234" spans="1:5" x14ac:dyDescent="0.35">
      <c r="A1234" s="1">
        <f>Calculs!A1234</f>
        <v>45978</v>
      </c>
      <c r="B1234">
        <f>Calculs!B1234</f>
        <v>4068.300048828125</v>
      </c>
      <c r="C1234">
        <f>Calculs!C1234</f>
        <v>1.2590018750834377</v>
      </c>
      <c r="D1234">
        <f t="shared" si="38"/>
        <v>-4.7327908648018505E-3</v>
      </c>
      <c r="E1234">
        <f t="shared" si="39"/>
        <v>-1.2724019424585795E-3</v>
      </c>
    </row>
    <row r="1235" spans="1:5" x14ac:dyDescent="0.35">
      <c r="A1235" s="1">
        <f>Calculs!A1235</f>
        <v>45979</v>
      </c>
      <c r="B1235">
        <f>Calculs!B1235</f>
        <v>4061.300048828125</v>
      </c>
      <c r="C1235">
        <f>Calculs!C1235</f>
        <v>1.2559027868750603</v>
      </c>
      <c r="D1235">
        <f t="shared" si="38"/>
        <v>-1.7221023533426794E-3</v>
      </c>
      <c r="E1235">
        <f t="shared" si="39"/>
        <v>-2.4645783388518596E-3</v>
      </c>
    </row>
    <row r="1236" spans="1:5" x14ac:dyDescent="0.35">
      <c r="A1236" s="1">
        <f>Calculs!A1236</f>
        <v>45980</v>
      </c>
      <c r="B1236">
        <f>Calculs!B1236</f>
        <v>4077.699951171875</v>
      </c>
      <c r="C1236">
        <f>Calculs!C1236</f>
        <v>1.2496876007439184</v>
      </c>
      <c r="D1236">
        <f t="shared" si="38"/>
        <v>4.0299605698671222E-3</v>
      </c>
      <c r="E1236">
        <f t="shared" si="39"/>
        <v>-4.961065391440582E-3</v>
      </c>
    </row>
    <row r="1237" spans="1:5" x14ac:dyDescent="0.35">
      <c r="A1237" s="1">
        <f>Calculs!A1237</f>
        <v>45981</v>
      </c>
      <c r="B1237">
        <f>Calculs!B1237</f>
        <v>4056.5</v>
      </c>
      <c r="C1237">
        <f>Calculs!C1237</f>
        <v>1.2415882682260879</v>
      </c>
      <c r="D1237">
        <f t="shared" si="38"/>
        <v>-5.2125591455094164E-3</v>
      </c>
      <c r="E1237">
        <f t="shared" si="39"/>
        <v>-6.5021791879539262E-3</v>
      </c>
    </row>
    <row r="1238" spans="1:5" x14ac:dyDescent="0.35">
      <c r="A1238" s="1">
        <f>Calculs!A1238</f>
        <v>45982</v>
      </c>
      <c r="B1238">
        <f>Calculs!B1238</f>
        <v>4076.699951171875</v>
      </c>
      <c r="C1238">
        <f>Calculs!C1238</f>
        <v>1.2414957489104399</v>
      </c>
      <c r="D1238">
        <f t="shared" si="38"/>
        <v>4.9672927820763558E-3</v>
      </c>
      <c r="E1238">
        <f t="shared" si="39"/>
        <v>-7.4519682018293508E-5</v>
      </c>
    </row>
    <row r="1239" spans="1:5" x14ac:dyDescent="0.35">
      <c r="A1239" s="1">
        <f>Calculs!A1239</f>
        <v>45985</v>
      </c>
      <c r="B1239">
        <f>Calculs!B1239</f>
        <v>4091.89990234375</v>
      </c>
      <c r="C1239">
        <f>Calculs!C1239</f>
        <v>1.2365983891628292</v>
      </c>
      <c r="D1239">
        <f t="shared" si="38"/>
        <v>3.7215603622990662E-3</v>
      </c>
      <c r="E1239">
        <f t="shared" si="39"/>
        <v>-3.9525262968035267E-3</v>
      </c>
    </row>
    <row r="1240" spans="1:5" x14ac:dyDescent="0.35">
      <c r="A1240" s="1">
        <f>Calculs!A1240</f>
        <v>45986</v>
      </c>
      <c r="B1240">
        <f>Calculs!B1240</f>
        <v>4139.2001953125</v>
      </c>
      <c r="C1240">
        <f>Calculs!C1240</f>
        <v>1.2366900888051024</v>
      </c>
      <c r="D1240">
        <f t="shared" si="38"/>
        <v>1.1493193638318831E-2</v>
      </c>
      <c r="E1240">
        <f t="shared" si="39"/>
        <v>7.4151998953777678E-5</v>
      </c>
    </row>
    <row r="1241" spans="1:5" x14ac:dyDescent="0.35">
      <c r="A1241" s="1">
        <f>Calculs!A1241</f>
        <v>45987</v>
      </c>
      <c r="B1241">
        <f>Calculs!B1241</f>
        <v>4165.2001953125</v>
      </c>
      <c r="C1241">
        <f>Calculs!C1241</f>
        <v>1.2376543958960302</v>
      </c>
      <c r="D1241">
        <f t="shared" si="38"/>
        <v>6.2617609294315637E-3</v>
      </c>
      <c r="E1241">
        <f t="shared" si="39"/>
        <v>7.7944453224741965E-4</v>
      </c>
    </row>
    <row r="1242" spans="1:5" x14ac:dyDescent="0.35">
      <c r="A1242" s="1">
        <f>Calculs!A1242</f>
        <v>45989</v>
      </c>
      <c r="B1242">
        <f>Calculs!B1242</f>
        <v>4218.2998046875</v>
      </c>
      <c r="C1242">
        <f>Calculs!C1242</f>
        <v>1.24285359125763</v>
      </c>
      <c r="D1242">
        <f t="shared" si="38"/>
        <v>1.2667816416397979E-2</v>
      </c>
      <c r="E1242">
        <f t="shared" si="39"/>
        <v>4.192046953627071E-3</v>
      </c>
    </row>
    <row r="1243" spans="1:5" x14ac:dyDescent="0.35">
      <c r="A1243" s="1">
        <f>Calculs!A1243</f>
        <v>45992</v>
      </c>
      <c r="B1243">
        <f>Calculs!B1243</f>
        <v>4239.2998046875</v>
      </c>
      <c r="C1243">
        <f>Calculs!C1243</f>
        <v>1.2448029201185444</v>
      </c>
      <c r="D1243">
        <f t="shared" si="38"/>
        <v>4.9659582212904707E-3</v>
      </c>
      <c r="E1243">
        <f t="shared" si="39"/>
        <v>1.5672013004867759E-3</v>
      </c>
    </row>
    <row r="1244" spans="1:5" x14ac:dyDescent="0.35">
      <c r="A1244" s="1">
        <f>Calculs!A1244</f>
        <v>45993</v>
      </c>
      <c r="B1244">
        <f>Calculs!B1244</f>
        <v>4186.60009765625</v>
      </c>
      <c r="C1244">
        <f>Calculs!C1244</f>
        <v>1.24285359125763</v>
      </c>
      <c r="D1244">
        <f t="shared" si="38"/>
        <v>-1.2509143198605851E-2</v>
      </c>
      <c r="E1244">
        <f t="shared" si="39"/>
        <v>-1.5672013004867972E-3</v>
      </c>
    </row>
    <row r="1245" spans="1:5" x14ac:dyDescent="0.35">
      <c r="A1245" s="1">
        <f>Calculs!A1245</f>
        <v>45994</v>
      </c>
      <c r="B1245">
        <f>Calculs!B1245</f>
        <v>4199.2998046875</v>
      </c>
      <c r="C1245">
        <f>Calculs!C1245</f>
        <v>1.2455471353749838</v>
      </c>
      <c r="D1245">
        <f t="shared" si="38"/>
        <v>3.0288262173034956E-3</v>
      </c>
      <c r="E1245">
        <f t="shared" si="39"/>
        <v>2.1648805520054939E-3</v>
      </c>
    </row>
    <row r="1246" spans="1:5" x14ac:dyDescent="0.35">
      <c r="A1246" s="1">
        <f>Calculs!A1246</f>
        <v>45995</v>
      </c>
      <c r="B1246">
        <f>Calculs!B1246</f>
        <v>4211.7998046875</v>
      </c>
      <c r="C1246">
        <f>Calculs!C1246</f>
        <v>1.250375137523098</v>
      </c>
      <c r="D1246">
        <f t="shared" si="38"/>
        <v>2.9722651693542806E-3</v>
      </c>
      <c r="E1246">
        <f t="shared" si="39"/>
        <v>3.8687167643405907E-3</v>
      </c>
    </row>
    <row r="1247" spans="1:5" x14ac:dyDescent="0.35">
      <c r="A1247" s="1">
        <f>Calculs!A1247</f>
        <v>45996</v>
      </c>
      <c r="B1247">
        <f>Calculs!B1247</f>
        <v>4212.89990234375</v>
      </c>
      <c r="C1247">
        <f>Calculs!C1247</f>
        <v>1.2441214959432165</v>
      </c>
      <c r="D1247">
        <f t="shared" si="38"/>
        <v>2.6116008896670296E-4</v>
      </c>
      <c r="E1247">
        <f t="shared" si="39"/>
        <v>-5.0139612114565571E-3</v>
      </c>
    </row>
    <row r="1248" spans="1:5" x14ac:dyDescent="0.35">
      <c r="A1248" s="1">
        <f>Calculs!A1248</f>
        <v>45999</v>
      </c>
      <c r="B1248">
        <f>Calculs!B1248</f>
        <v>4187.2001953125</v>
      </c>
      <c r="C1248">
        <f>Calculs!C1248</f>
        <v>1.242467567918637</v>
      </c>
      <c r="D1248">
        <f t="shared" si="38"/>
        <v>-6.1189240409394172E-3</v>
      </c>
      <c r="E1248">
        <f t="shared" si="39"/>
        <v>-1.3302787280145647E-3</v>
      </c>
    </row>
    <row r="1249" spans="1:5" x14ac:dyDescent="0.35">
      <c r="A1249" s="1">
        <f>Calculs!A1249</f>
        <v>46000</v>
      </c>
      <c r="B1249">
        <f>Calculs!B1249</f>
        <v>4206.7001953125</v>
      </c>
      <c r="C1249">
        <f>Calculs!C1249</f>
        <v>1.2397134737392801</v>
      </c>
      <c r="D1249">
        <f t="shared" si="38"/>
        <v>4.6462393338665645E-3</v>
      </c>
      <c r="E1249">
        <f t="shared" si="39"/>
        <v>-2.2190930180497688E-3</v>
      </c>
    </row>
    <row r="1250" spans="1:5" x14ac:dyDescent="0.35">
      <c r="A1250" s="1">
        <f>Calculs!A1250</f>
        <v>46001</v>
      </c>
      <c r="B1250">
        <f>Calculs!B1250</f>
        <v>4196.39990234375</v>
      </c>
      <c r="C1250">
        <f>Calculs!C1250</f>
        <v>1.240848774898567</v>
      </c>
      <c r="D1250">
        <f t="shared" si="38"/>
        <v>-2.4515471689845261E-3</v>
      </c>
      <c r="E1250">
        <f t="shared" si="39"/>
        <v>9.1535799126265464E-4</v>
      </c>
    </row>
    <row r="1251" spans="1:5" x14ac:dyDescent="0.35">
      <c r="A1251" s="1">
        <f>Calculs!A1251</f>
        <v>46002</v>
      </c>
      <c r="B1251">
        <f>Calculs!B1251</f>
        <v>4285.5</v>
      </c>
      <c r="C1251">
        <f>Calculs!C1251</f>
        <v>1.2509694944685372</v>
      </c>
      <c r="D1251">
        <f t="shared" si="38"/>
        <v>2.1010239753042382E-2</v>
      </c>
      <c r="E1251">
        <f t="shared" si="39"/>
        <v>8.1232049277944942E-3</v>
      </c>
    </row>
    <row r="1252" spans="1:5" x14ac:dyDescent="0.35">
      <c r="A1252" s="1">
        <f>Calculs!A1252</f>
        <v>46003</v>
      </c>
      <c r="B1252">
        <f>Calculs!B1252</f>
        <v>4300.10009765625</v>
      </c>
      <c r="C1252">
        <f>Calculs!C1252</f>
        <v>1.2581939416083137</v>
      </c>
      <c r="D1252">
        <f t="shared" si="38"/>
        <v>3.4010695964849522E-3</v>
      </c>
      <c r="E1252">
        <f t="shared" si="39"/>
        <v>5.7584667458570214E-3</v>
      </c>
    </row>
    <row r="1253" spans="1:5" x14ac:dyDescent="0.35">
      <c r="A1253" s="1">
        <f>Calculs!A1253</f>
        <v>46006</v>
      </c>
      <c r="B1253">
        <f>Calculs!B1253</f>
        <v>4306.7001953125</v>
      </c>
      <c r="C1253">
        <f>Calculs!C1253</f>
        <v>1.2560604680103253</v>
      </c>
      <c r="D1253">
        <f t="shared" si="38"/>
        <v>1.5336939920357251E-3</v>
      </c>
      <c r="E1253">
        <f t="shared" si="39"/>
        <v>-1.6971028086005537E-3</v>
      </c>
    </row>
    <row r="1254" spans="1:5" x14ac:dyDescent="0.35">
      <c r="A1254" s="1">
        <f>Calculs!A1254</f>
        <v>46007</v>
      </c>
      <c r="B1254">
        <f>Calculs!B1254</f>
        <v>4304.5</v>
      </c>
      <c r="C1254">
        <f>Calculs!C1254</f>
        <v>1.2562655973508314</v>
      </c>
      <c r="D1254">
        <f t="shared" si="38"/>
        <v>-5.1100782944880018E-4</v>
      </c>
      <c r="E1254">
        <f t="shared" si="39"/>
        <v>1.6329834235306488E-4</v>
      </c>
    </row>
    <row r="1255" spans="1:5" x14ac:dyDescent="0.35">
      <c r="A1255" s="1">
        <f>Calculs!A1255</f>
        <v>46008</v>
      </c>
      <c r="B1255">
        <f>Calculs!B1255</f>
        <v>4347.5</v>
      </c>
      <c r="C1255">
        <f>Calculs!C1255</f>
        <v>1.2575452870130082</v>
      </c>
      <c r="D1255">
        <f t="shared" si="38"/>
        <v>9.939980130428714E-3</v>
      </c>
      <c r="E1255">
        <f t="shared" si="39"/>
        <v>1.0181273226864604E-3</v>
      </c>
    </row>
    <row r="1256" spans="1:5" x14ac:dyDescent="0.35">
      <c r="A1256" s="1">
        <f>Calculs!A1256</f>
        <v>46009</v>
      </c>
      <c r="B1256">
        <f>Calculs!B1256</f>
        <v>4339.5</v>
      </c>
      <c r="C1256">
        <f>Calculs!C1256</f>
        <v>1.2575452870130082</v>
      </c>
      <c r="D1256">
        <f t="shared" si="38"/>
        <v>-1.8418331441386099E-3</v>
      </c>
      <c r="E1256">
        <f t="shared" si="39"/>
        <v>0</v>
      </c>
    </row>
    <row r="1257" spans="1:5" x14ac:dyDescent="0.35">
      <c r="A1257" s="1">
        <f>Calculs!A1257</f>
        <v>46010</v>
      </c>
      <c r="B1257">
        <f>Calculs!B1257</f>
        <v>4361.39990234375</v>
      </c>
      <c r="C1257">
        <f>Calculs!C1257</f>
        <v>1.2594300080990735</v>
      </c>
      <c r="D1257">
        <f t="shared" si="38"/>
        <v>5.0339502433122251E-3</v>
      </c>
      <c r="E1257">
        <f t="shared" si="39"/>
        <v>1.4976082141008055E-3</v>
      </c>
    </row>
    <row r="1258" spans="1:5" x14ac:dyDescent="0.35">
      <c r="A1258" s="1">
        <f>Calculs!A1258</f>
        <v>46013</v>
      </c>
      <c r="B1258">
        <f>Calculs!B1258</f>
        <v>4444.60009765625</v>
      </c>
      <c r="C1258">
        <f>Calculs!C1258</f>
        <v>1.2565497477046561</v>
      </c>
      <c r="D1258">
        <f t="shared" si="38"/>
        <v>1.8896813791643464E-2</v>
      </c>
      <c r="E1258">
        <f t="shared" si="39"/>
        <v>-2.2895745850127353E-3</v>
      </c>
    </row>
    <row r="1259" spans="1:5" x14ac:dyDescent="0.35">
      <c r="A1259" s="1"/>
    </row>
    <row r="1260" spans="1:5" x14ac:dyDescent="0.35">
      <c r="A1260" s="1"/>
    </row>
    <row r="1261" spans="1:5" x14ac:dyDescent="0.35">
      <c r="A1261" s="1"/>
    </row>
    <row r="1262" spans="1:5" x14ac:dyDescent="0.35">
      <c r="A1262" s="1"/>
    </row>
    <row r="1263" spans="1:5" x14ac:dyDescent="0.35">
      <c r="A1263" s="1"/>
    </row>
    <row r="1264" spans="1:5" x14ac:dyDescent="0.35">
      <c r="A1264" s="1"/>
    </row>
    <row r="1265" spans="1:1" x14ac:dyDescent="0.35">
      <c r="A1265" s="1"/>
    </row>
    <row r="1266" spans="1:1" x14ac:dyDescent="0.35">
      <c r="A1266" s="1"/>
    </row>
    <row r="1267" spans="1:1" x14ac:dyDescent="0.35">
      <c r="A1267" s="1"/>
    </row>
    <row r="1268" spans="1:1" x14ac:dyDescent="0.35">
      <c r="A1268" s="1"/>
    </row>
    <row r="1269" spans="1:1" x14ac:dyDescent="0.35">
      <c r="A1269" s="1"/>
    </row>
    <row r="1270" spans="1:1" x14ac:dyDescent="0.35">
      <c r="A1270" s="1"/>
    </row>
    <row r="1271" spans="1:1" x14ac:dyDescent="0.35">
      <c r="A1271" s="1"/>
    </row>
    <row r="1272" spans="1:1" x14ac:dyDescent="0.35">
      <c r="A1272" s="1"/>
    </row>
    <row r="1273" spans="1:1" x14ac:dyDescent="0.35">
      <c r="A1273" s="1"/>
    </row>
    <row r="1274" spans="1:1" x14ac:dyDescent="0.35">
      <c r="A1274" s="1"/>
    </row>
    <row r="1275" spans="1:1" x14ac:dyDescent="0.35">
      <c r="A1275" s="1"/>
    </row>
    <row r="1276" spans="1:1" x14ac:dyDescent="0.35">
      <c r="A1276" s="1"/>
    </row>
    <row r="1277" spans="1:1" x14ac:dyDescent="0.35">
      <c r="A1277" s="1"/>
    </row>
    <row r="1278" spans="1:1" x14ac:dyDescent="0.35">
      <c r="A1278" s="1"/>
    </row>
    <row r="1279" spans="1:1" x14ac:dyDescent="0.35">
      <c r="A1279" s="1"/>
    </row>
    <row r="1280" spans="1:1" x14ac:dyDescent="0.35">
      <c r="A1280" s="1"/>
    </row>
    <row r="1281" spans="1:1" x14ac:dyDescent="0.35">
      <c r="A1281" s="1"/>
    </row>
    <row r="1282" spans="1:1" x14ac:dyDescent="0.35">
      <c r="A1282" s="1"/>
    </row>
    <row r="1283" spans="1:1" x14ac:dyDescent="0.35">
      <c r="A1283" s="1"/>
    </row>
    <row r="1284" spans="1:1" x14ac:dyDescent="0.35">
      <c r="A1284" s="1"/>
    </row>
    <row r="1285" spans="1:1" x14ac:dyDescent="0.35">
      <c r="A1285" s="1"/>
    </row>
    <row r="1286" spans="1:1" x14ac:dyDescent="0.35">
      <c r="A1286" s="1"/>
    </row>
    <row r="1287" spans="1:1" x14ac:dyDescent="0.35">
      <c r="A1287" s="1"/>
    </row>
    <row r="1288" spans="1:1" x14ac:dyDescent="0.35">
      <c r="A1288" s="1"/>
    </row>
    <row r="1289" spans="1:1" x14ac:dyDescent="0.35">
      <c r="A1289" s="1"/>
    </row>
    <row r="1290" spans="1:1" x14ac:dyDescent="0.35">
      <c r="A1290" s="1"/>
    </row>
    <row r="1291" spans="1:1" x14ac:dyDescent="0.35">
      <c r="A1291" s="1"/>
    </row>
    <row r="1292" spans="1:1" x14ac:dyDescent="0.35">
      <c r="A1292" s="1"/>
    </row>
    <row r="1293" spans="1:1" x14ac:dyDescent="0.35">
      <c r="A1293" s="1"/>
    </row>
    <row r="1294" spans="1:1" x14ac:dyDescent="0.35">
      <c r="A1294" s="1"/>
    </row>
    <row r="1295" spans="1:1" x14ac:dyDescent="0.35">
      <c r="A1295" s="1"/>
    </row>
    <row r="1296" spans="1:1" x14ac:dyDescent="0.35">
      <c r="A1296" s="1"/>
    </row>
    <row r="1297" spans="1:1" x14ac:dyDescent="0.35">
      <c r="A1297" s="1"/>
    </row>
    <row r="1298" spans="1:1" x14ac:dyDescent="0.35">
      <c r="A1298" s="1"/>
    </row>
    <row r="1299" spans="1:1" x14ac:dyDescent="0.35">
      <c r="A1299" s="1"/>
    </row>
    <row r="1300" spans="1:1" x14ac:dyDescent="0.35">
      <c r="A1300" s="1"/>
    </row>
    <row r="1301" spans="1:1" x14ac:dyDescent="0.35">
      <c r="A1301" s="1"/>
    </row>
    <row r="1302" spans="1:1" x14ac:dyDescent="0.35">
      <c r="A1302" s="1"/>
    </row>
    <row r="1303" spans="1:1" x14ac:dyDescent="0.35">
      <c r="A1303" s="1"/>
    </row>
    <row r="1304" spans="1:1" x14ac:dyDescent="0.35">
      <c r="A1304" s="1"/>
    </row>
    <row r="1305" spans="1:1" x14ac:dyDescent="0.35">
      <c r="A1305" s="1"/>
    </row>
    <row r="1306" spans="1:1" x14ac:dyDescent="0.35">
      <c r="A1306" s="1"/>
    </row>
    <row r="1307" spans="1:1" x14ac:dyDescent="0.35">
      <c r="A1307" s="1"/>
    </row>
    <row r="1308" spans="1:1" x14ac:dyDescent="0.35">
      <c r="A1308" s="1"/>
    </row>
    <row r="1309" spans="1:1" x14ac:dyDescent="0.35">
      <c r="A1309" s="1"/>
    </row>
    <row r="1310" spans="1:1" x14ac:dyDescent="0.35">
      <c r="A1310" s="1"/>
    </row>
    <row r="1311" spans="1:1" x14ac:dyDescent="0.35">
      <c r="A1311" s="1"/>
    </row>
    <row r="1312" spans="1:1" x14ac:dyDescent="0.35">
      <c r="A1312" s="1"/>
    </row>
    <row r="1313" spans="1:1" x14ac:dyDescent="0.35">
      <c r="A1313" s="1"/>
    </row>
    <row r="1314" spans="1:1" x14ac:dyDescent="0.35">
      <c r="A1314" s="1"/>
    </row>
    <row r="1315" spans="1:1" x14ac:dyDescent="0.35">
      <c r="A1315" s="1"/>
    </row>
    <row r="1316" spans="1:1" x14ac:dyDescent="0.35">
      <c r="A1316" s="1"/>
    </row>
    <row r="1317" spans="1:1" x14ac:dyDescent="0.35">
      <c r="A1317" s="1"/>
    </row>
    <row r="1318" spans="1:1" x14ac:dyDescent="0.35">
      <c r="A1318" s="1"/>
    </row>
    <row r="1319" spans="1:1" x14ac:dyDescent="0.35">
      <c r="A1319" s="1"/>
    </row>
    <row r="1320" spans="1:1" x14ac:dyDescent="0.35">
      <c r="A1320" s="1"/>
    </row>
    <row r="1321" spans="1:1" x14ac:dyDescent="0.35">
      <c r="A1321" s="1"/>
    </row>
    <row r="1322" spans="1:1" x14ac:dyDescent="0.35">
      <c r="A1322" s="1"/>
    </row>
    <row r="1323" spans="1:1" x14ac:dyDescent="0.35">
      <c r="A1323" s="1"/>
    </row>
    <row r="1324" spans="1:1" x14ac:dyDescent="0.35">
      <c r="A1324" s="1"/>
    </row>
    <row r="1325" spans="1:1" x14ac:dyDescent="0.35">
      <c r="A1325" s="1"/>
    </row>
    <row r="1326" spans="1:1" x14ac:dyDescent="0.35">
      <c r="A1326" s="1"/>
    </row>
    <row r="1327" spans="1:1" x14ac:dyDescent="0.35">
      <c r="A1327" s="1"/>
    </row>
    <row r="1328" spans="1:1" x14ac:dyDescent="0.35">
      <c r="A1328" s="1"/>
    </row>
    <row r="1329" spans="1:1" x14ac:dyDescent="0.35">
      <c r="A1329" s="1"/>
    </row>
    <row r="1330" spans="1:1" x14ac:dyDescent="0.35">
      <c r="A1330" s="1"/>
    </row>
    <row r="1331" spans="1:1" x14ac:dyDescent="0.35">
      <c r="A1331" s="1"/>
    </row>
    <row r="1332" spans="1:1" x14ac:dyDescent="0.35">
      <c r="A1332" s="1"/>
    </row>
    <row r="1333" spans="1:1" x14ac:dyDescent="0.35">
      <c r="A1333" s="1"/>
    </row>
    <row r="1334" spans="1:1" x14ac:dyDescent="0.35">
      <c r="A1334" s="1"/>
    </row>
    <row r="1335" spans="1:1" x14ac:dyDescent="0.35">
      <c r="A1335" s="1"/>
    </row>
    <row r="1336" spans="1:1" x14ac:dyDescent="0.35">
      <c r="A1336" s="1"/>
    </row>
    <row r="1337" spans="1:1" x14ac:dyDescent="0.35">
      <c r="A1337" s="1"/>
    </row>
    <row r="1338" spans="1:1" x14ac:dyDescent="0.35">
      <c r="A1338" s="1"/>
    </row>
    <row r="1339" spans="1:1" x14ac:dyDescent="0.35">
      <c r="A1339" s="1"/>
    </row>
    <row r="1340" spans="1:1" x14ac:dyDescent="0.35">
      <c r="A1340" s="1"/>
    </row>
    <row r="1341" spans="1:1" x14ac:dyDescent="0.35">
      <c r="A1341" s="1"/>
    </row>
    <row r="1342" spans="1:1" x14ac:dyDescent="0.35">
      <c r="A1342" s="1"/>
    </row>
    <row r="1343" spans="1:1" x14ac:dyDescent="0.35">
      <c r="A1343" s="1"/>
    </row>
    <row r="1344" spans="1:1" x14ac:dyDescent="0.35">
      <c r="A1344" s="1"/>
    </row>
    <row r="1345" spans="1:1" x14ac:dyDescent="0.35">
      <c r="A1345" s="1"/>
    </row>
    <row r="1346" spans="1:1" x14ac:dyDescent="0.35">
      <c r="A1346" s="1"/>
    </row>
    <row r="1347" spans="1:1" x14ac:dyDescent="0.35">
      <c r="A1347" s="1"/>
    </row>
    <row r="1348" spans="1:1" x14ac:dyDescent="0.35">
      <c r="A1348" s="1"/>
    </row>
    <row r="1349" spans="1:1" x14ac:dyDescent="0.35">
      <c r="A1349" s="1"/>
    </row>
    <row r="1350" spans="1:1" x14ac:dyDescent="0.35">
      <c r="A1350" s="1"/>
    </row>
    <row r="1351" spans="1:1" x14ac:dyDescent="0.35">
      <c r="A1351" s="1"/>
    </row>
    <row r="1352" spans="1:1" x14ac:dyDescent="0.35">
      <c r="A1352" s="1"/>
    </row>
    <row r="1353" spans="1:1" x14ac:dyDescent="0.35">
      <c r="A1353" s="1"/>
    </row>
    <row r="1354" spans="1:1" x14ac:dyDescent="0.35">
      <c r="A1354" s="1"/>
    </row>
    <row r="1355" spans="1:1" x14ac:dyDescent="0.35">
      <c r="A1355" s="1"/>
    </row>
    <row r="1356" spans="1:1" x14ac:dyDescent="0.35">
      <c r="A1356" s="1"/>
    </row>
    <row r="1357" spans="1:1" x14ac:dyDescent="0.35">
      <c r="A1357" s="1"/>
    </row>
    <row r="1358" spans="1:1" x14ac:dyDescent="0.35">
      <c r="A1358" s="1"/>
    </row>
    <row r="1359" spans="1:1" x14ac:dyDescent="0.35">
      <c r="A1359" s="1"/>
    </row>
    <row r="1360" spans="1:1" x14ac:dyDescent="0.35">
      <c r="A1360" s="1"/>
    </row>
    <row r="1361" spans="1:1" x14ac:dyDescent="0.35">
      <c r="A1361" s="1"/>
    </row>
    <row r="1362" spans="1:1" x14ac:dyDescent="0.35">
      <c r="A1362" s="1"/>
    </row>
    <row r="1363" spans="1:1" x14ac:dyDescent="0.35">
      <c r="A1363" s="1"/>
    </row>
    <row r="1364" spans="1:1" x14ac:dyDescent="0.35">
      <c r="A1364" s="1"/>
    </row>
    <row r="1365" spans="1:1" x14ac:dyDescent="0.35">
      <c r="A1365" s="1"/>
    </row>
    <row r="1366" spans="1:1" x14ac:dyDescent="0.35">
      <c r="A1366" s="1"/>
    </row>
    <row r="1367" spans="1:1" x14ac:dyDescent="0.35">
      <c r="A1367" s="1"/>
    </row>
    <row r="1368" spans="1:1" x14ac:dyDescent="0.35">
      <c r="A1368" s="1"/>
    </row>
    <row r="1369" spans="1:1" x14ac:dyDescent="0.35">
      <c r="A1369" s="1"/>
    </row>
    <row r="1370" spans="1:1" x14ac:dyDescent="0.35">
      <c r="A1370" s="1"/>
    </row>
    <row r="1371" spans="1:1" x14ac:dyDescent="0.35">
      <c r="A1371" s="1"/>
    </row>
    <row r="1372" spans="1:1" x14ac:dyDescent="0.35">
      <c r="A1372" s="1"/>
    </row>
    <row r="1373" spans="1:1" x14ac:dyDescent="0.35">
      <c r="A1373" s="1"/>
    </row>
    <row r="1374" spans="1:1" x14ac:dyDescent="0.35">
      <c r="A1374" s="1"/>
    </row>
    <row r="1375" spans="1:1" x14ac:dyDescent="0.35">
      <c r="A1375" s="1"/>
    </row>
    <row r="1376" spans="1:1" x14ac:dyDescent="0.35">
      <c r="A1376" s="1"/>
    </row>
    <row r="1377" spans="1:1" x14ac:dyDescent="0.35">
      <c r="A1377" s="1"/>
    </row>
    <row r="1378" spans="1:1" x14ac:dyDescent="0.35">
      <c r="A1378" s="1"/>
    </row>
    <row r="1379" spans="1:1" x14ac:dyDescent="0.35">
      <c r="A1379" s="1"/>
    </row>
    <row r="1380" spans="1:1" x14ac:dyDescent="0.35">
      <c r="A1380" s="1"/>
    </row>
    <row r="1381" spans="1:1" x14ac:dyDescent="0.35">
      <c r="A1381" s="1"/>
    </row>
    <row r="1382" spans="1:1" x14ac:dyDescent="0.35">
      <c r="A1382" s="1"/>
    </row>
    <row r="1383" spans="1:1" x14ac:dyDescent="0.35">
      <c r="A1383" s="1"/>
    </row>
    <row r="1384" spans="1:1" x14ac:dyDescent="0.35">
      <c r="A1384" s="1"/>
    </row>
    <row r="1385" spans="1:1" x14ac:dyDescent="0.35">
      <c r="A1385" s="1"/>
    </row>
    <row r="1386" spans="1:1" x14ac:dyDescent="0.35">
      <c r="A1386" s="1"/>
    </row>
    <row r="1387" spans="1:1" x14ac:dyDescent="0.35">
      <c r="A1387" s="1"/>
    </row>
    <row r="1388" spans="1:1" x14ac:dyDescent="0.35">
      <c r="A1388" s="1"/>
    </row>
    <row r="1389" spans="1:1" x14ac:dyDescent="0.35">
      <c r="A1389" s="1"/>
    </row>
    <row r="1390" spans="1:1" x14ac:dyDescent="0.35">
      <c r="A1390" s="1"/>
    </row>
    <row r="1391" spans="1:1" x14ac:dyDescent="0.35">
      <c r="A1391" s="1"/>
    </row>
    <row r="1392" spans="1:1" x14ac:dyDescent="0.35">
      <c r="A1392" s="1"/>
    </row>
    <row r="1393" spans="1:1" x14ac:dyDescent="0.35">
      <c r="A1393" s="1"/>
    </row>
    <row r="1394" spans="1:1" x14ac:dyDescent="0.35">
      <c r="A1394" s="1"/>
    </row>
    <row r="1395" spans="1:1" x14ac:dyDescent="0.35">
      <c r="A1395" s="1"/>
    </row>
    <row r="1396" spans="1:1" x14ac:dyDescent="0.35">
      <c r="A1396" s="1"/>
    </row>
    <row r="1397" spans="1:1" x14ac:dyDescent="0.35">
      <c r="A1397" s="1"/>
    </row>
    <row r="1398" spans="1:1" x14ac:dyDescent="0.35">
      <c r="A1398" s="1"/>
    </row>
    <row r="1399" spans="1:1" x14ac:dyDescent="0.35">
      <c r="A1399" s="1"/>
    </row>
    <row r="1400" spans="1:1" x14ac:dyDescent="0.35">
      <c r="A1400" s="1"/>
    </row>
    <row r="1401" spans="1:1" x14ac:dyDescent="0.35">
      <c r="A1401" s="1"/>
    </row>
    <row r="1402" spans="1:1" x14ac:dyDescent="0.35">
      <c r="A1402" s="1"/>
    </row>
    <row r="1403" spans="1:1" x14ac:dyDescent="0.35">
      <c r="A1403" s="1"/>
    </row>
    <row r="1404" spans="1:1" x14ac:dyDescent="0.35">
      <c r="A1404" s="1"/>
    </row>
    <row r="1405" spans="1:1" x14ac:dyDescent="0.35">
      <c r="A1405" s="1"/>
    </row>
    <row r="1406" spans="1:1" x14ac:dyDescent="0.35">
      <c r="A1406" s="1"/>
    </row>
    <row r="1407" spans="1:1" x14ac:dyDescent="0.35">
      <c r="A1407" s="1"/>
    </row>
    <row r="1408" spans="1:1" x14ac:dyDescent="0.35">
      <c r="A1408" s="1"/>
    </row>
    <row r="1409" spans="1:1" x14ac:dyDescent="0.35">
      <c r="A1409" s="1"/>
    </row>
    <row r="1410" spans="1:1" x14ac:dyDescent="0.35">
      <c r="A1410" s="1"/>
    </row>
    <row r="1411" spans="1:1" x14ac:dyDescent="0.35">
      <c r="A1411" s="1"/>
    </row>
    <row r="1412" spans="1:1" x14ac:dyDescent="0.35">
      <c r="A1412" s="1"/>
    </row>
    <row r="1413" spans="1:1" x14ac:dyDescent="0.35">
      <c r="A1413" s="1"/>
    </row>
    <row r="1414" spans="1:1" x14ac:dyDescent="0.35">
      <c r="A1414" s="1"/>
    </row>
    <row r="1415" spans="1:1" x14ac:dyDescent="0.35">
      <c r="A1415" s="1"/>
    </row>
    <row r="1416" spans="1:1" x14ac:dyDescent="0.35">
      <c r="A1416" s="1"/>
    </row>
    <row r="1417" spans="1:1" x14ac:dyDescent="0.35">
      <c r="A1417" s="1"/>
    </row>
    <row r="1418" spans="1:1" x14ac:dyDescent="0.35">
      <c r="A1418" s="1"/>
    </row>
    <row r="1419" spans="1:1" x14ac:dyDescent="0.35">
      <c r="A1419" s="1"/>
    </row>
    <row r="1420" spans="1:1" x14ac:dyDescent="0.35">
      <c r="A1420" s="1"/>
    </row>
    <row r="1421" spans="1:1" x14ac:dyDescent="0.35">
      <c r="A1421" s="1"/>
    </row>
    <row r="1422" spans="1:1" x14ac:dyDescent="0.35">
      <c r="A1422" s="1"/>
    </row>
    <row r="1423" spans="1:1" x14ac:dyDescent="0.35">
      <c r="A1423" s="1"/>
    </row>
    <row r="1424" spans="1:1" x14ac:dyDescent="0.35">
      <c r="A1424" s="1"/>
    </row>
    <row r="1425" spans="1:1" x14ac:dyDescent="0.35">
      <c r="A1425" s="1"/>
    </row>
    <row r="1426" spans="1:1" x14ac:dyDescent="0.35">
      <c r="A1426" s="1"/>
    </row>
    <row r="1427" spans="1:1" x14ac:dyDescent="0.35">
      <c r="A1427" s="1"/>
    </row>
    <row r="1428" spans="1:1" x14ac:dyDescent="0.35">
      <c r="A1428" s="1"/>
    </row>
    <row r="1429" spans="1:1" x14ac:dyDescent="0.35">
      <c r="A1429" s="1"/>
    </row>
    <row r="1430" spans="1:1" x14ac:dyDescent="0.35">
      <c r="A1430" s="1"/>
    </row>
    <row r="1431" spans="1:1" x14ac:dyDescent="0.35">
      <c r="A1431" s="1"/>
    </row>
    <row r="1432" spans="1:1" x14ac:dyDescent="0.35">
      <c r="A1432" s="1"/>
    </row>
    <row r="1433" spans="1:1" x14ac:dyDescent="0.35">
      <c r="A1433" s="1"/>
    </row>
    <row r="1434" spans="1:1" x14ac:dyDescent="0.35">
      <c r="A1434" s="1"/>
    </row>
    <row r="1435" spans="1:1" x14ac:dyDescent="0.35">
      <c r="A1435" s="1"/>
    </row>
    <row r="1436" spans="1:1" x14ac:dyDescent="0.35">
      <c r="A1436" s="1"/>
    </row>
    <row r="1437" spans="1:1" x14ac:dyDescent="0.35">
      <c r="A1437" s="1"/>
    </row>
    <row r="1438" spans="1:1" x14ac:dyDescent="0.35">
      <c r="A1438" s="1"/>
    </row>
    <row r="1439" spans="1:1" x14ac:dyDescent="0.35">
      <c r="A1439" s="1"/>
    </row>
    <row r="1440" spans="1:1" x14ac:dyDescent="0.35">
      <c r="A1440" s="1"/>
    </row>
    <row r="1441" spans="1:1" x14ac:dyDescent="0.35">
      <c r="A1441" s="1"/>
    </row>
    <row r="1442" spans="1:1" x14ac:dyDescent="0.35">
      <c r="A1442" s="1"/>
    </row>
    <row r="1443" spans="1:1" x14ac:dyDescent="0.35">
      <c r="A1443" s="1"/>
    </row>
    <row r="1444" spans="1:1" x14ac:dyDescent="0.35">
      <c r="A1444" s="1"/>
    </row>
    <row r="1445" spans="1:1" x14ac:dyDescent="0.35">
      <c r="A1445" s="1"/>
    </row>
    <row r="1446" spans="1:1" x14ac:dyDescent="0.35">
      <c r="A1446" s="1"/>
    </row>
    <row r="1447" spans="1:1" x14ac:dyDescent="0.35">
      <c r="A1447" s="1"/>
    </row>
    <row r="1448" spans="1:1" x14ac:dyDescent="0.35">
      <c r="A1448" s="1"/>
    </row>
    <row r="1449" spans="1:1" x14ac:dyDescent="0.35">
      <c r="A1449" s="1"/>
    </row>
    <row r="1450" spans="1:1" x14ac:dyDescent="0.35">
      <c r="A1450" s="1"/>
    </row>
    <row r="1451" spans="1:1" x14ac:dyDescent="0.35">
      <c r="A1451" s="1"/>
    </row>
    <row r="1452" spans="1:1" x14ac:dyDescent="0.35">
      <c r="A1452" s="1"/>
    </row>
    <row r="1453" spans="1:1" x14ac:dyDescent="0.35">
      <c r="A1453" s="1"/>
    </row>
    <row r="1454" spans="1:1" x14ac:dyDescent="0.35">
      <c r="A1454" s="1"/>
    </row>
    <row r="1455" spans="1:1" x14ac:dyDescent="0.35">
      <c r="A1455" s="1"/>
    </row>
    <row r="1456" spans="1:1" x14ac:dyDescent="0.35">
      <c r="A1456" s="1"/>
    </row>
    <row r="1457" spans="1:1" x14ac:dyDescent="0.35">
      <c r="A1457" s="1"/>
    </row>
    <row r="1458" spans="1:1" x14ac:dyDescent="0.35">
      <c r="A1458" s="1"/>
    </row>
    <row r="1459" spans="1:1" x14ac:dyDescent="0.35">
      <c r="A1459" s="1"/>
    </row>
    <row r="1460" spans="1:1" x14ac:dyDescent="0.35">
      <c r="A1460" s="1"/>
    </row>
    <row r="1461" spans="1:1" x14ac:dyDescent="0.35">
      <c r="A1461" s="1"/>
    </row>
    <row r="1462" spans="1:1" x14ac:dyDescent="0.35">
      <c r="A1462" s="1"/>
    </row>
    <row r="1463" spans="1:1" x14ac:dyDescent="0.35">
      <c r="A1463" s="1"/>
    </row>
    <row r="1464" spans="1:1" x14ac:dyDescent="0.35">
      <c r="A1464" s="1"/>
    </row>
    <row r="1465" spans="1:1" x14ac:dyDescent="0.35">
      <c r="A1465" s="1"/>
    </row>
    <row r="1466" spans="1:1" x14ac:dyDescent="0.35">
      <c r="A1466" s="1"/>
    </row>
    <row r="1467" spans="1:1" x14ac:dyDescent="0.35">
      <c r="A1467" s="1"/>
    </row>
    <row r="1468" spans="1:1" x14ac:dyDescent="0.35">
      <c r="A1468" s="1"/>
    </row>
    <row r="1469" spans="1:1" x14ac:dyDescent="0.35">
      <c r="A1469" s="1"/>
    </row>
    <row r="1470" spans="1:1" x14ac:dyDescent="0.35">
      <c r="A1470" s="1"/>
    </row>
    <row r="1471" spans="1:1" x14ac:dyDescent="0.35">
      <c r="A1471" s="1"/>
    </row>
    <row r="1472" spans="1:1" x14ac:dyDescent="0.35">
      <c r="A1472" s="1"/>
    </row>
    <row r="1473" spans="1:1" x14ac:dyDescent="0.35">
      <c r="A1473" s="1"/>
    </row>
    <row r="1474" spans="1:1" x14ac:dyDescent="0.35">
      <c r="A1474" s="1"/>
    </row>
    <row r="1475" spans="1:1" x14ac:dyDescent="0.35">
      <c r="A1475" s="1"/>
    </row>
    <row r="1476" spans="1:1" x14ac:dyDescent="0.35">
      <c r="A1476" s="1"/>
    </row>
    <row r="1477" spans="1:1" x14ac:dyDescent="0.35">
      <c r="A1477" s="1"/>
    </row>
    <row r="1478" spans="1:1" x14ac:dyDescent="0.35">
      <c r="A1478" s="1"/>
    </row>
    <row r="1479" spans="1:1" x14ac:dyDescent="0.35">
      <c r="A1479" s="1"/>
    </row>
    <row r="1480" spans="1:1" x14ac:dyDescent="0.35">
      <c r="A1480" s="1"/>
    </row>
    <row r="1481" spans="1:1" x14ac:dyDescent="0.35">
      <c r="A1481" s="1"/>
    </row>
    <row r="1482" spans="1:1" x14ac:dyDescent="0.35">
      <c r="A1482" s="1"/>
    </row>
    <row r="1483" spans="1:1" x14ac:dyDescent="0.35">
      <c r="A1483" s="1"/>
    </row>
    <row r="1484" spans="1:1" x14ac:dyDescent="0.35">
      <c r="A1484" s="1"/>
    </row>
    <row r="1485" spans="1:1" x14ac:dyDescent="0.35">
      <c r="A1485" s="1"/>
    </row>
    <row r="1486" spans="1:1" x14ac:dyDescent="0.35">
      <c r="A1486" s="1"/>
    </row>
    <row r="1487" spans="1:1" x14ac:dyDescent="0.35">
      <c r="A1487" s="1"/>
    </row>
    <row r="1488" spans="1:1" x14ac:dyDescent="0.35">
      <c r="A1488" s="1"/>
    </row>
    <row r="1489" spans="1:1" x14ac:dyDescent="0.35">
      <c r="A1489" s="1"/>
    </row>
    <row r="1490" spans="1:1" x14ac:dyDescent="0.35">
      <c r="A1490" s="1"/>
    </row>
    <row r="1491" spans="1:1" x14ac:dyDescent="0.35">
      <c r="A1491" s="1"/>
    </row>
    <row r="1492" spans="1:1" x14ac:dyDescent="0.35">
      <c r="A1492" s="1"/>
    </row>
    <row r="1493" spans="1:1" x14ac:dyDescent="0.35">
      <c r="A1493" s="1"/>
    </row>
    <row r="1494" spans="1:1" x14ac:dyDescent="0.35">
      <c r="A1494" s="1"/>
    </row>
    <row r="1495" spans="1:1" x14ac:dyDescent="0.35">
      <c r="A1495" s="1"/>
    </row>
    <row r="1496" spans="1:1" x14ac:dyDescent="0.35">
      <c r="A1496" s="1"/>
    </row>
    <row r="1497" spans="1:1" x14ac:dyDescent="0.35">
      <c r="A1497" s="1"/>
    </row>
    <row r="1498" spans="1:1" x14ac:dyDescent="0.35">
      <c r="A1498" s="1"/>
    </row>
    <row r="1499" spans="1:1" x14ac:dyDescent="0.35">
      <c r="A1499" s="1"/>
    </row>
    <row r="1500" spans="1:1" x14ac:dyDescent="0.35">
      <c r="A1500" s="1"/>
    </row>
    <row r="1501" spans="1:1" x14ac:dyDescent="0.35">
      <c r="A1501" s="1"/>
    </row>
    <row r="1502" spans="1:1" x14ac:dyDescent="0.35">
      <c r="A1502" s="1"/>
    </row>
    <row r="1503" spans="1:1" x14ac:dyDescent="0.35">
      <c r="A1503" s="1"/>
    </row>
    <row r="1504" spans="1:1" x14ac:dyDescent="0.35">
      <c r="A1504" s="1"/>
    </row>
    <row r="1505" spans="1:1" x14ac:dyDescent="0.35">
      <c r="A1505" s="1"/>
    </row>
    <row r="1506" spans="1:1" x14ac:dyDescent="0.35">
      <c r="A1506" s="1"/>
    </row>
    <row r="1507" spans="1:1" x14ac:dyDescent="0.35">
      <c r="A1507" s="1"/>
    </row>
    <row r="1508" spans="1:1" x14ac:dyDescent="0.35">
      <c r="A1508" s="1"/>
    </row>
    <row r="1509" spans="1:1" x14ac:dyDescent="0.35">
      <c r="A1509" s="1"/>
    </row>
    <row r="1510" spans="1:1" x14ac:dyDescent="0.35">
      <c r="A1510" s="1"/>
    </row>
    <row r="1511" spans="1:1" x14ac:dyDescent="0.35">
      <c r="A1511" s="1"/>
    </row>
    <row r="1512" spans="1:1" x14ac:dyDescent="0.35">
      <c r="A1512" s="1"/>
    </row>
    <row r="1513" spans="1:1" x14ac:dyDescent="0.35">
      <c r="A1513" s="1"/>
    </row>
    <row r="1514" spans="1:1" x14ac:dyDescent="0.35">
      <c r="A1514" s="1"/>
    </row>
    <row r="1515" spans="1:1" x14ac:dyDescent="0.35">
      <c r="A1515" s="1"/>
    </row>
    <row r="1516" spans="1:1" x14ac:dyDescent="0.35">
      <c r="A1516" s="1"/>
    </row>
    <row r="1517" spans="1:1" x14ac:dyDescent="0.35">
      <c r="A1517" s="1"/>
    </row>
    <row r="1518" spans="1:1" x14ac:dyDescent="0.35">
      <c r="A1518" s="1"/>
    </row>
    <row r="1519" spans="1:1" x14ac:dyDescent="0.35">
      <c r="A1519" s="1"/>
    </row>
    <row r="1520" spans="1:1" x14ac:dyDescent="0.35">
      <c r="A1520" s="1"/>
    </row>
    <row r="1521" spans="1:1" x14ac:dyDescent="0.35">
      <c r="A1521" s="1"/>
    </row>
    <row r="1522" spans="1:1" x14ac:dyDescent="0.35">
      <c r="A1522" s="1"/>
    </row>
    <row r="1523" spans="1:1" x14ac:dyDescent="0.35">
      <c r="A1523" s="1"/>
    </row>
    <row r="1524" spans="1:1" x14ac:dyDescent="0.35">
      <c r="A1524" s="1"/>
    </row>
    <row r="1525" spans="1:1" x14ac:dyDescent="0.35">
      <c r="A1525" s="1"/>
    </row>
    <row r="1526" spans="1:1" x14ac:dyDescent="0.35">
      <c r="A1526" s="1"/>
    </row>
    <row r="1527" spans="1:1" x14ac:dyDescent="0.35">
      <c r="A1527" s="1"/>
    </row>
    <row r="1528" spans="1:1" x14ac:dyDescent="0.35">
      <c r="A1528" s="1"/>
    </row>
    <row r="1529" spans="1:1" x14ac:dyDescent="0.35">
      <c r="A1529" s="1"/>
    </row>
    <row r="1530" spans="1:1" x14ac:dyDescent="0.35">
      <c r="A1530" s="1"/>
    </row>
    <row r="1531" spans="1:1" x14ac:dyDescent="0.35">
      <c r="A1531" s="1"/>
    </row>
    <row r="1532" spans="1:1" x14ac:dyDescent="0.35">
      <c r="A1532" s="1"/>
    </row>
    <row r="1533" spans="1:1" x14ac:dyDescent="0.35">
      <c r="A1533" s="1"/>
    </row>
    <row r="1534" spans="1:1" x14ac:dyDescent="0.35">
      <c r="A1534" s="1"/>
    </row>
    <row r="1535" spans="1:1" x14ac:dyDescent="0.35">
      <c r="A1535" s="1"/>
    </row>
    <row r="1536" spans="1:1" x14ac:dyDescent="0.35">
      <c r="A1536" s="1"/>
    </row>
    <row r="1537" spans="1:1" x14ac:dyDescent="0.35">
      <c r="A1537" s="1"/>
    </row>
    <row r="1538" spans="1:1" x14ac:dyDescent="0.35">
      <c r="A1538" s="1"/>
    </row>
    <row r="1539" spans="1:1" x14ac:dyDescent="0.35">
      <c r="A1539" s="1"/>
    </row>
    <row r="1540" spans="1:1" x14ac:dyDescent="0.35">
      <c r="A1540" s="1"/>
    </row>
    <row r="1541" spans="1:1" x14ac:dyDescent="0.35">
      <c r="A1541" s="1"/>
    </row>
    <row r="1542" spans="1:1" x14ac:dyDescent="0.35">
      <c r="A1542" s="1"/>
    </row>
    <row r="1543" spans="1:1" x14ac:dyDescent="0.35">
      <c r="A1543" s="1"/>
    </row>
    <row r="1544" spans="1:1" x14ac:dyDescent="0.35">
      <c r="A1544" s="1"/>
    </row>
    <row r="1545" spans="1:1" x14ac:dyDescent="0.35">
      <c r="A1545" s="1"/>
    </row>
    <row r="1546" spans="1:1" x14ac:dyDescent="0.35">
      <c r="A1546" s="1"/>
    </row>
    <row r="1547" spans="1:1" x14ac:dyDescent="0.35">
      <c r="A1547" s="1"/>
    </row>
    <row r="1548" spans="1:1" x14ac:dyDescent="0.35">
      <c r="A1548" s="1"/>
    </row>
    <row r="1549" spans="1:1" x14ac:dyDescent="0.35">
      <c r="A1549" s="1"/>
    </row>
    <row r="1550" spans="1:1" x14ac:dyDescent="0.35">
      <c r="A1550" s="1"/>
    </row>
    <row r="1551" spans="1:1" x14ac:dyDescent="0.35">
      <c r="A1551" s="1"/>
    </row>
    <row r="1552" spans="1:1" x14ac:dyDescent="0.35">
      <c r="A1552" s="1"/>
    </row>
    <row r="1553" spans="1:1" x14ac:dyDescent="0.35">
      <c r="A1553" s="1"/>
    </row>
    <row r="1554" spans="1:1" x14ac:dyDescent="0.35">
      <c r="A1554" s="1"/>
    </row>
    <row r="1555" spans="1:1" x14ac:dyDescent="0.35">
      <c r="A1555" s="1"/>
    </row>
    <row r="1556" spans="1:1" x14ac:dyDescent="0.35">
      <c r="A1556" s="1"/>
    </row>
    <row r="1557" spans="1:1" x14ac:dyDescent="0.35">
      <c r="A1557" s="1"/>
    </row>
    <row r="1558" spans="1:1" x14ac:dyDescent="0.35">
      <c r="A1558" s="1"/>
    </row>
    <row r="1559" spans="1:1" x14ac:dyDescent="0.35">
      <c r="A1559" s="1"/>
    </row>
    <row r="1560" spans="1:1" x14ac:dyDescent="0.35">
      <c r="A1560" s="1"/>
    </row>
    <row r="1561" spans="1:1" x14ac:dyDescent="0.35">
      <c r="A1561" s="1"/>
    </row>
    <row r="1562" spans="1:1" x14ac:dyDescent="0.35">
      <c r="A1562" s="1"/>
    </row>
    <row r="1563" spans="1:1" x14ac:dyDescent="0.35">
      <c r="A1563" s="1"/>
    </row>
    <row r="1564" spans="1:1" x14ac:dyDescent="0.35">
      <c r="A1564" s="1"/>
    </row>
    <row r="1565" spans="1:1" x14ac:dyDescent="0.35">
      <c r="A1565" s="1"/>
    </row>
    <row r="1566" spans="1:1" x14ac:dyDescent="0.35">
      <c r="A1566" s="1"/>
    </row>
    <row r="1567" spans="1:1" x14ac:dyDescent="0.35">
      <c r="A1567" s="1"/>
    </row>
    <row r="1568" spans="1:1" x14ac:dyDescent="0.35">
      <c r="A1568" s="1"/>
    </row>
    <row r="1569" spans="1:1" x14ac:dyDescent="0.35">
      <c r="A1569" s="1"/>
    </row>
    <row r="1570" spans="1:1" x14ac:dyDescent="0.35">
      <c r="A1570" s="1"/>
    </row>
    <row r="1571" spans="1:1" x14ac:dyDescent="0.35">
      <c r="A1571" s="1"/>
    </row>
    <row r="1572" spans="1:1" x14ac:dyDescent="0.35">
      <c r="A1572" s="1"/>
    </row>
    <row r="1573" spans="1:1" x14ac:dyDescent="0.35">
      <c r="A1573" s="1"/>
    </row>
    <row r="1574" spans="1:1" x14ac:dyDescent="0.35">
      <c r="A1574" s="1"/>
    </row>
    <row r="1575" spans="1:1" x14ac:dyDescent="0.35">
      <c r="A1575" s="1"/>
    </row>
    <row r="1576" spans="1:1" x14ac:dyDescent="0.35">
      <c r="A1576" s="1"/>
    </row>
    <row r="1577" spans="1:1" x14ac:dyDescent="0.35">
      <c r="A1577" s="1"/>
    </row>
    <row r="1578" spans="1:1" x14ac:dyDescent="0.35">
      <c r="A1578" s="1"/>
    </row>
    <row r="1579" spans="1:1" x14ac:dyDescent="0.35">
      <c r="A1579" s="1"/>
    </row>
    <row r="1580" spans="1:1" x14ac:dyDescent="0.35">
      <c r="A1580" s="1"/>
    </row>
    <row r="1581" spans="1:1" x14ac:dyDescent="0.35">
      <c r="A1581" s="1"/>
    </row>
    <row r="1582" spans="1:1" x14ac:dyDescent="0.35">
      <c r="A1582" s="1"/>
    </row>
    <row r="1583" spans="1:1" x14ac:dyDescent="0.35">
      <c r="A1583" s="1"/>
    </row>
    <row r="1584" spans="1:1" x14ac:dyDescent="0.35">
      <c r="A1584" s="1"/>
    </row>
    <row r="1585" spans="1:1" x14ac:dyDescent="0.35">
      <c r="A1585" s="1"/>
    </row>
    <row r="1586" spans="1:1" x14ac:dyDescent="0.35">
      <c r="A1586" s="1"/>
    </row>
    <row r="1587" spans="1:1" x14ac:dyDescent="0.35">
      <c r="A1587" s="1"/>
    </row>
    <row r="1588" spans="1:1" x14ac:dyDescent="0.35">
      <c r="A1588" s="1"/>
    </row>
    <row r="1589" spans="1:1" x14ac:dyDescent="0.35">
      <c r="A1589" s="1"/>
    </row>
    <row r="1590" spans="1:1" x14ac:dyDescent="0.35">
      <c r="A1590" s="1"/>
    </row>
    <row r="1591" spans="1:1" x14ac:dyDescent="0.35">
      <c r="A1591" s="1"/>
    </row>
    <row r="1592" spans="1:1" x14ac:dyDescent="0.35">
      <c r="A1592" s="1"/>
    </row>
    <row r="1593" spans="1:1" x14ac:dyDescent="0.35">
      <c r="A1593" s="1"/>
    </row>
    <row r="1594" spans="1:1" x14ac:dyDescent="0.35">
      <c r="A1594" s="1"/>
    </row>
    <row r="1595" spans="1:1" x14ac:dyDescent="0.35">
      <c r="A1595" s="1"/>
    </row>
    <row r="1596" spans="1:1" x14ac:dyDescent="0.35">
      <c r="A1596" s="1"/>
    </row>
    <row r="1597" spans="1:1" x14ac:dyDescent="0.35">
      <c r="A1597" s="1"/>
    </row>
    <row r="1598" spans="1:1" x14ac:dyDescent="0.35">
      <c r="A1598" s="1"/>
    </row>
    <row r="1599" spans="1:1" x14ac:dyDescent="0.35">
      <c r="A1599" s="1"/>
    </row>
    <row r="1600" spans="1:1" x14ac:dyDescent="0.35">
      <c r="A1600" s="1"/>
    </row>
    <row r="1601" spans="1:1" x14ac:dyDescent="0.35">
      <c r="A1601" s="1"/>
    </row>
    <row r="1602" spans="1:1" x14ac:dyDescent="0.35">
      <c r="A1602" s="1"/>
    </row>
    <row r="1603" spans="1:1" x14ac:dyDescent="0.35">
      <c r="A1603" s="1"/>
    </row>
    <row r="1604" spans="1:1" x14ac:dyDescent="0.35">
      <c r="A1604" s="1"/>
    </row>
    <row r="1605" spans="1:1" x14ac:dyDescent="0.35">
      <c r="A1605" s="1"/>
    </row>
    <row r="1606" spans="1:1" x14ac:dyDescent="0.35">
      <c r="A1606" s="1"/>
    </row>
    <row r="1607" spans="1:1" x14ac:dyDescent="0.35">
      <c r="A1607" s="1"/>
    </row>
    <row r="1608" spans="1:1" x14ac:dyDescent="0.35">
      <c r="A1608" s="1"/>
    </row>
    <row r="1609" spans="1:1" x14ac:dyDescent="0.35">
      <c r="A1609" s="1"/>
    </row>
    <row r="1610" spans="1:1" x14ac:dyDescent="0.35">
      <c r="A1610" s="1"/>
    </row>
    <row r="1611" spans="1:1" x14ac:dyDescent="0.35">
      <c r="A1611" s="1"/>
    </row>
    <row r="1612" spans="1:1" x14ac:dyDescent="0.35">
      <c r="A1612" s="1"/>
    </row>
    <row r="1613" spans="1:1" x14ac:dyDescent="0.35">
      <c r="A1613" s="1"/>
    </row>
    <row r="1614" spans="1:1" x14ac:dyDescent="0.35">
      <c r="A1614" s="1"/>
    </row>
    <row r="1615" spans="1:1" x14ac:dyDescent="0.35">
      <c r="A1615" s="1"/>
    </row>
    <row r="1616" spans="1:1" x14ac:dyDescent="0.35">
      <c r="A1616" s="1"/>
    </row>
    <row r="1617" spans="1:1" x14ac:dyDescent="0.35">
      <c r="A1617" s="1"/>
    </row>
    <row r="1618" spans="1:1" x14ac:dyDescent="0.35">
      <c r="A1618" s="1"/>
    </row>
    <row r="1619" spans="1:1" x14ac:dyDescent="0.35">
      <c r="A1619" s="1"/>
    </row>
    <row r="1620" spans="1:1" x14ac:dyDescent="0.35">
      <c r="A1620" s="1"/>
    </row>
    <row r="1621" spans="1:1" x14ac:dyDescent="0.35">
      <c r="A1621" s="1"/>
    </row>
    <row r="1622" spans="1:1" x14ac:dyDescent="0.35">
      <c r="A1622" s="1"/>
    </row>
    <row r="1623" spans="1:1" x14ac:dyDescent="0.35">
      <c r="A1623" s="1"/>
    </row>
    <row r="1624" spans="1:1" x14ac:dyDescent="0.35">
      <c r="A1624" s="1"/>
    </row>
    <row r="1625" spans="1:1" x14ac:dyDescent="0.35">
      <c r="A1625" s="1"/>
    </row>
    <row r="1626" spans="1:1" x14ac:dyDescent="0.35">
      <c r="A1626" s="1"/>
    </row>
    <row r="1627" spans="1:1" x14ac:dyDescent="0.35">
      <c r="A1627" s="1"/>
    </row>
    <row r="1628" spans="1:1" x14ac:dyDescent="0.35">
      <c r="A1628" s="1"/>
    </row>
    <row r="1629" spans="1:1" x14ac:dyDescent="0.35">
      <c r="A1629" s="1"/>
    </row>
    <row r="1630" spans="1:1" x14ac:dyDescent="0.35">
      <c r="A1630" s="1"/>
    </row>
    <row r="1631" spans="1:1" x14ac:dyDescent="0.35">
      <c r="A1631" s="1"/>
    </row>
    <row r="1632" spans="1:1" x14ac:dyDescent="0.35">
      <c r="A1632" s="1"/>
    </row>
    <row r="1633" spans="1:1" x14ac:dyDescent="0.35">
      <c r="A1633" s="1"/>
    </row>
    <row r="1634" spans="1:1" x14ac:dyDescent="0.35">
      <c r="A1634" s="1"/>
    </row>
    <row r="1635" spans="1:1" x14ac:dyDescent="0.35">
      <c r="A1635" s="1"/>
    </row>
    <row r="1636" spans="1:1" x14ac:dyDescent="0.35">
      <c r="A1636" s="1"/>
    </row>
    <row r="1637" spans="1:1" x14ac:dyDescent="0.35">
      <c r="A1637" s="1"/>
    </row>
    <row r="1638" spans="1:1" x14ac:dyDescent="0.35">
      <c r="A1638" s="1"/>
    </row>
    <row r="1639" spans="1:1" x14ac:dyDescent="0.35">
      <c r="A1639" s="1"/>
    </row>
    <row r="1640" spans="1:1" x14ac:dyDescent="0.35">
      <c r="A1640" s="1"/>
    </row>
    <row r="1641" spans="1:1" x14ac:dyDescent="0.35">
      <c r="A1641" s="1"/>
    </row>
    <row r="1642" spans="1:1" x14ac:dyDescent="0.35">
      <c r="A1642" s="1"/>
    </row>
    <row r="1643" spans="1:1" x14ac:dyDescent="0.35">
      <c r="A1643" s="1"/>
    </row>
    <row r="1644" spans="1:1" x14ac:dyDescent="0.35">
      <c r="A1644" s="1"/>
    </row>
    <row r="1645" spans="1:1" x14ac:dyDescent="0.35">
      <c r="A1645" s="1"/>
    </row>
    <row r="1646" spans="1:1" x14ac:dyDescent="0.35">
      <c r="A1646" s="1"/>
    </row>
    <row r="1647" spans="1:1" x14ac:dyDescent="0.35">
      <c r="A1647" s="1"/>
    </row>
    <row r="1648" spans="1:1" x14ac:dyDescent="0.35">
      <c r="A1648" s="1"/>
    </row>
    <row r="1649" spans="1:1" x14ac:dyDescent="0.35">
      <c r="A1649" s="1"/>
    </row>
    <row r="1650" spans="1:1" x14ac:dyDescent="0.35">
      <c r="A1650" s="1"/>
    </row>
    <row r="1651" spans="1:1" x14ac:dyDescent="0.35">
      <c r="A1651" s="1"/>
    </row>
    <row r="1652" spans="1:1" x14ac:dyDescent="0.35">
      <c r="A1652" s="1"/>
    </row>
    <row r="1653" spans="1:1" x14ac:dyDescent="0.35">
      <c r="A1653" s="1"/>
    </row>
    <row r="1654" spans="1:1" x14ac:dyDescent="0.35">
      <c r="A1654" s="1"/>
    </row>
    <row r="1655" spans="1:1" x14ac:dyDescent="0.35">
      <c r="A1655" s="1"/>
    </row>
    <row r="1656" spans="1:1" x14ac:dyDescent="0.35">
      <c r="A1656" s="1"/>
    </row>
    <row r="1657" spans="1:1" x14ac:dyDescent="0.35">
      <c r="A1657" s="1"/>
    </row>
    <row r="1658" spans="1:1" x14ac:dyDescent="0.35">
      <c r="A1658" s="1"/>
    </row>
    <row r="1659" spans="1:1" x14ac:dyDescent="0.35">
      <c r="A1659" s="1"/>
    </row>
    <row r="1660" spans="1:1" x14ac:dyDescent="0.35">
      <c r="A1660" s="1"/>
    </row>
    <row r="1661" spans="1:1" x14ac:dyDescent="0.35">
      <c r="A1661" s="1"/>
    </row>
    <row r="1662" spans="1:1" x14ac:dyDescent="0.35">
      <c r="A1662" s="1"/>
    </row>
    <row r="1663" spans="1:1" x14ac:dyDescent="0.35">
      <c r="A1663" s="1"/>
    </row>
    <row r="1664" spans="1:1" x14ac:dyDescent="0.35">
      <c r="A1664" s="1"/>
    </row>
    <row r="1665" spans="1:1" x14ac:dyDescent="0.35">
      <c r="A1665" s="1"/>
    </row>
    <row r="1666" spans="1:1" x14ac:dyDescent="0.35">
      <c r="A1666" s="1"/>
    </row>
    <row r="1667" spans="1:1" x14ac:dyDescent="0.35">
      <c r="A1667" s="1"/>
    </row>
    <row r="1668" spans="1:1" x14ac:dyDescent="0.35">
      <c r="A1668" s="1"/>
    </row>
    <row r="1669" spans="1:1" x14ac:dyDescent="0.35">
      <c r="A1669" s="1"/>
    </row>
    <row r="1670" spans="1:1" x14ac:dyDescent="0.35">
      <c r="A1670" s="1"/>
    </row>
    <row r="1671" spans="1:1" x14ac:dyDescent="0.35">
      <c r="A1671" s="1"/>
    </row>
    <row r="1672" spans="1:1" x14ac:dyDescent="0.35">
      <c r="A1672" s="1"/>
    </row>
    <row r="1673" spans="1:1" x14ac:dyDescent="0.35">
      <c r="A1673" s="1"/>
    </row>
    <row r="1674" spans="1:1" x14ac:dyDescent="0.35">
      <c r="A1674" s="1"/>
    </row>
    <row r="1675" spans="1:1" x14ac:dyDescent="0.35">
      <c r="A1675" s="1"/>
    </row>
    <row r="1676" spans="1:1" x14ac:dyDescent="0.35">
      <c r="A1676" s="1"/>
    </row>
    <row r="1677" spans="1:1" x14ac:dyDescent="0.35">
      <c r="A1677" s="1"/>
    </row>
    <row r="1678" spans="1:1" x14ac:dyDescent="0.35">
      <c r="A1678" s="1"/>
    </row>
    <row r="1679" spans="1:1" x14ac:dyDescent="0.35">
      <c r="A1679" s="1"/>
    </row>
    <row r="1680" spans="1:1" x14ac:dyDescent="0.35">
      <c r="A1680" s="1"/>
    </row>
    <row r="1681" spans="1:1" x14ac:dyDescent="0.35">
      <c r="A1681" s="1"/>
    </row>
    <row r="1682" spans="1:1" x14ac:dyDescent="0.35">
      <c r="A1682" s="1"/>
    </row>
    <row r="1683" spans="1:1" x14ac:dyDescent="0.35">
      <c r="A1683" s="1"/>
    </row>
    <row r="1684" spans="1:1" x14ac:dyDescent="0.35">
      <c r="A1684" s="1"/>
    </row>
    <row r="1685" spans="1:1" x14ac:dyDescent="0.35">
      <c r="A1685" s="1"/>
    </row>
    <row r="1686" spans="1:1" x14ac:dyDescent="0.35">
      <c r="A1686" s="1"/>
    </row>
    <row r="1687" spans="1:1" x14ac:dyDescent="0.35">
      <c r="A1687" s="1"/>
    </row>
    <row r="1688" spans="1:1" x14ac:dyDescent="0.35">
      <c r="A1688" s="1"/>
    </row>
    <row r="1689" spans="1:1" x14ac:dyDescent="0.35">
      <c r="A1689" s="1"/>
    </row>
    <row r="1690" spans="1:1" x14ac:dyDescent="0.35">
      <c r="A1690" s="1"/>
    </row>
    <row r="1691" spans="1:1" x14ac:dyDescent="0.35">
      <c r="A1691" s="1"/>
    </row>
    <row r="1692" spans="1:1" x14ac:dyDescent="0.35">
      <c r="A1692" s="1"/>
    </row>
    <row r="1693" spans="1:1" x14ac:dyDescent="0.35">
      <c r="A1693" s="1"/>
    </row>
    <row r="1694" spans="1:1" x14ac:dyDescent="0.35">
      <c r="A1694" s="1"/>
    </row>
    <row r="1695" spans="1:1" x14ac:dyDescent="0.35">
      <c r="A1695" s="1"/>
    </row>
    <row r="1696" spans="1:1" x14ac:dyDescent="0.35">
      <c r="A1696" s="1"/>
    </row>
    <row r="1697" spans="1:1" x14ac:dyDescent="0.35">
      <c r="A1697" s="1"/>
    </row>
    <row r="1698" spans="1:1" x14ac:dyDescent="0.35">
      <c r="A1698" s="1"/>
    </row>
    <row r="1699" spans="1:1" x14ac:dyDescent="0.35">
      <c r="A1699" s="1"/>
    </row>
    <row r="1700" spans="1:1" x14ac:dyDescent="0.35">
      <c r="A1700" s="1"/>
    </row>
    <row r="1701" spans="1:1" x14ac:dyDescent="0.35">
      <c r="A1701" s="1"/>
    </row>
    <row r="1702" spans="1:1" x14ac:dyDescent="0.35">
      <c r="A1702" s="1"/>
    </row>
    <row r="1703" spans="1:1" x14ac:dyDescent="0.35">
      <c r="A1703" s="1"/>
    </row>
    <row r="1704" spans="1:1" x14ac:dyDescent="0.35">
      <c r="A1704" s="1"/>
    </row>
    <row r="1705" spans="1:1" x14ac:dyDescent="0.35">
      <c r="A1705" s="1"/>
    </row>
    <row r="1706" spans="1:1" x14ac:dyDescent="0.35">
      <c r="A1706" s="1"/>
    </row>
    <row r="1707" spans="1:1" x14ac:dyDescent="0.35">
      <c r="A1707" s="1"/>
    </row>
    <row r="1708" spans="1:1" x14ac:dyDescent="0.35">
      <c r="A1708" s="1"/>
    </row>
    <row r="1709" spans="1:1" x14ac:dyDescent="0.35">
      <c r="A1709" s="1"/>
    </row>
    <row r="1710" spans="1:1" x14ac:dyDescent="0.35">
      <c r="A1710" s="1"/>
    </row>
    <row r="1711" spans="1:1" x14ac:dyDescent="0.35">
      <c r="A1711" s="1"/>
    </row>
    <row r="1712" spans="1:1" x14ac:dyDescent="0.35">
      <c r="A1712" s="1"/>
    </row>
    <row r="1713" spans="1:1" x14ac:dyDescent="0.35">
      <c r="A1713" s="1"/>
    </row>
    <row r="1714" spans="1:1" x14ac:dyDescent="0.35">
      <c r="A1714" s="1"/>
    </row>
    <row r="1715" spans="1:1" x14ac:dyDescent="0.35">
      <c r="A1715" s="1"/>
    </row>
    <row r="1716" spans="1:1" x14ac:dyDescent="0.35">
      <c r="A1716" s="1"/>
    </row>
    <row r="1717" spans="1:1" x14ac:dyDescent="0.35">
      <c r="A1717" s="1"/>
    </row>
    <row r="1718" spans="1:1" x14ac:dyDescent="0.35">
      <c r="A1718" s="1"/>
    </row>
    <row r="1719" spans="1:1" x14ac:dyDescent="0.35">
      <c r="A1719" s="1"/>
    </row>
    <row r="1720" spans="1:1" x14ac:dyDescent="0.35">
      <c r="A1720" s="1"/>
    </row>
    <row r="1721" spans="1:1" x14ac:dyDescent="0.35">
      <c r="A1721" s="1"/>
    </row>
    <row r="1722" spans="1:1" x14ac:dyDescent="0.35">
      <c r="A1722" s="1"/>
    </row>
    <row r="1723" spans="1:1" x14ac:dyDescent="0.35">
      <c r="A1723" s="1"/>
    </row>
    <row r="1724" spans="1:1" x14ac:dyDescent="0.35">
      <c r="A1724" s="1"/>
    </row>
    <row r="1725" spans="1:1" x14ac:dyDescent="0.35">
      <c r="A1725" s="1"/>
    </row>
    <row r="1726" spans="1:1" x14ac:dyDescent="0.35">
      <c r="A1726" s="1"/>
    </row>
    <row r="1727" spans="1:1" x14ac:dyDescent="0.35">
      <c r="A1727" s="1"/>
    </row>
    <row r="1728" spans="1:1" x14ac:dyDescent="0.35">
      <c r="A1728" s="1"/>
    </row>
    <row r="1729" spans="1:1" x14ac:dyDescent="0.35">
      <c r="A1729" s="1"/>
    </row>
    <row r="1730" spans="1:1" x14ac:dyDescent="0.35">
      <c r="A1730" s="1"/>
    </row>
    <row r="1731" spans="1:1" x14ac:dyDescent="0.35">
      <c r="A1731" s="1"/>
    </row>
    <row r="1732" spans="1:1" x14ac:dyDescent="0.35">
      <c r="A1732" s="1"/>
    </row>
    <row r="1733" spans="1:1" x14ac:dyDescent="0.35">
      <c r="A1733" s="1"/>
    </row>
    <row r="1734" spans="1:1" x14ac:dyDescent="0.35">
      <c r="A1734" s="1"/>
    </row>
    <row r="1735" spans="1:1" x14ac:dyDescent="0.35">
      <c r="A1735" s="1"/>
    </row>
    <row r="1736" spans="1:1" x14ac:dyDescent="0.35">
      <c r="A1736" s="1"/>
    </row>
    <row r="1737" spans="1:1" x14ac:dyDescent="0.35">
      <c r="A1737" s="1"/>
    </row>
    <row r="1738" spans="1:1" x14ac:dyDescent="0.35">
      <c r="A1738" s="1"/>
    </row>
    <row r="1739" spans="1:1" x14ac:dyDescent="0.35">
      <c r="A1739" s="1"/>
    </row>
    <row r="1740" spans="1:1" x14ac:dyDescent="0.35">
      <c r="A1740" s="1"/>
    </row>
    <row r="1741" spans="1:1" x14ac:dyDescent="0.35">
      <c r="A1741" s="1"/>
    </row>
    <row r="1742" spans="1:1" x14ac:dyDescent="0.35">
      <c r="A1742" s="1"/>
    </row>
    <row r="1743" spans="1:1" x14ac:dyDescent="0.35">
      <c r="A1743" s="1"/>
    </row>
    <row r="1744" spans="1:1" x14ac:dyDescent="0.35">
      <c r="A1744" s="1"/>
    </row>
    <row r="1745" spans="1:1" x14ac:dyDescent="0.35">
      <c r="A1745" s="1"/>
    </row>
    <row r="1746" spans="1:1" x14ac:dyDescent="0.35">
      <c r="A1746" s="1"/>
    </row>
    <row r="1747" spans="1:1" x14ac:dyDescent="0.35">
      <c r="A1747" s="1"/>
    </row>
    <row r="1748" spans="1:1" x14ac:dyDescent="0.35">
      <c r="A1748" s="1"/>
    </row>
    <row r="1749" spans="1:1" x14ac:dyDescent="0.35">
      <c r="A1749" s="1"/>
    </row>
    <row r="1750" spans="1:1" x14ac:dyDescent="0.35">
      <c r="A1750" s="1"/>
    </row>
    <row r="1751" spans="1:1" x14ac:dyDescent="0.35">
      <c r="A1751" s="1"/>
    </row>
    <row r="1752" spans="1:1" x14ac:dyDescent="0.35">
      <c r="A1752" s="1"/>
    </row>
    <row r="1753" spans="1:1" x14ac:dyDescent="0.35">
      <c r="A1753" s="1"/>
    </row>
    <row r="1754" spans="1:1" x14ac:dyDescent="0.35">
      <c r="A1754" s="1"/>
    </row>
    <row r="1755" spans="1:1" x14ac:dyDescent="0.35">
      <c r="A1755" s="1"/>
    </row>
    <row r="1756" spans="1:1" x14ac:dyDescent="0.35">
      <c r="A1756" s="1"/>
    </row>
    <row r="1757" spans="1:1" x14ac:dyDescent="0.35">
      <c r="A1757" s="1"/>
    </row>
    <row r="1758" spans="1:1" x14ac:dyDescent="0.35">
      <c r="A1758" s="1"/>
    </row>
    <row r="1759" spans="1:1" x14ac:dyDescent="0.35">
      <c r="A1759" s="1"/>
    </row>
    <row r="1760" spans="1:1" x14ac:dyDescent="0.35">
      <c r="A1760" s="1"/>
    </row>
    <row r="1761" spans="1:1" x14ac:dyDescent="0.35">
      <c r="A1761" s="1"/>
    </row>
    <row r="1762" spans="1:1" x14ac:dyDescent="0.35">
      <c r="A1762" s="1"/>
    </row>
    <row r="1763" spans="1:1" x14ac:dyDescent="0.35">
      <c r="A1763" s="1"/>
    </row>
    <row r="1764" spans="1:1" x14ac:dyDescent="0.35">
      <c r="A1764" s="1"/>
    </row>
    <row r="1765" spans="1:1" x14ac:dyDescent="0.35">
      <c r="A1765" s="1"/>
    </row>
    <row r="1766" spans="1:1" x14ac:dyDescent="0.35">
      <c r="A1766" s="1"/>
    </row>
    <row r="1767" spans="1:1" x14ac:dyDescent="0.35">
      <c r="A1767" s="1"/>
    </row>
    <row r="1768" spans="1:1" x14ac:dyDescent="0.35">
      <c r="A1768" s="1"/>
    </row>
    <row r="1769" spans="1:1" x14ac:dyDescent="0.35">
      <c r="A1769" s="1"/>
    </row>
    <row r="1770" spans="1:1" x14ac:dyDescent="0.35">
      <c r="A1770" s="1"/>
    </row>
    <row r="1771" spans="1:1" x14ac:dyDescent="0.35">
      <c r="A1771" s="1"/>
    </row>
    <row r="1772" spans="1:1" x14ac:dyDescent="0.35">
      <c r="A1772" s="1"/>
    </row>
    <row r="1773" spans="1:1" x14ac:dyDescent="0.35">
      <c r="A1773" s="1"/>
    </row>
    <row r="1774" spans="1:1" x14ac:dyDescent="0.35">
      <c r="A1774" s="1"/>
    </row>
    <row r="1775" spans="1:1" x14ac:dyDescent="0.35">
      <c r="A1775" s="1"/>
    </row>
    <row r="1776" spans="1:1" x14ac:dyDescent="0.35">
      <c r="A1776" s="1"/>
    </row>
    <row r="1777" spans="1:1" x14ac:dyDescent="0.35">
      <c r="A1777" s="1"/>
    </row>
    <row r="1778" spans="1:1" x14ac:dyDescent="0.35">
      <c r="A1778" s="1"/>
    </row>
    <row r="1779" spans="1:1" x14ac:dyDescent="0.35">
      <c r="A1779" s="1"/>
    </row>
    <row r="1780" spans="1:1" x14ac:dyDescent="0.35">
      <c r="A1780" s="1"/>
    </row>
    <row r="1781" spans="1:1" x14ac:dyDescent="0.35">
      <c r="A1781" s="1"/>
    </row>
    <row r="1782" spans="1:1" x14ac:dyDescent="0.35">
      <c r="A1782" s="1"/>
    </row>
    <row r="1783" spans="1:1" x14ac:dyDescent="0.35">
      <c r="A1783" s="1"/>
    </row>
    <row r="1784" spans="1:1" x14ac:dyDescent="0.35">
      <c r="A1784" s="1"/>
    </row>
    <row r="1785" spans="1:1" x14ac:dyDescent="0.35">
      <c r="A1785" s="1"/>
    </row>
    <row r="1786" spans="1:1" x14ac:dyDescent="0.35">
      <c r="A1786" s="1"/>
    </row>
    <row r="1787" spans="1:1" x14ac:dyDescent="0.35">
      <c r="A1787" s="1"/>
    </row>
    <row r="1788" spans="1:1" x14ac:dyDescent="0.35">
      <c r="A1788" s="1"/>
    </row>
    <row r="1789" spans="1:1" x14ac:dyDescent="0.35">
      <c r="A1789" s="1"/>
    </row>
    <row r="1790" spans="1:1" x14ac:dyDescent="0.35">
      <c r="A1790" s="1"/>
    </row>
    <row r="1791" spans="1:1" x14ac:dyDescent="0.35">
      <c r="A1791" s="1"/>
    </row>
    <row r="1792" spans="1:1" x14ac:dyDescent="0.35">
      <c r="A1792" s="1"/>
    </row>
    <row r="1793" spans="1:1" x14ac:dyDescent="0.35">
      <c r="A1793" s="1"/>
    </row>
    <row r="1794" spans="1:1" x14ac:dyDescent="0.35">
      <c r="A1794" s="1"/>
    </row>
    <row r="1795" spans="1:1" x14ac:dyDescent="0.35">
      <c r="A1795" s="1"/>
    </row>
    <row r="1796" spans="1:1" x14ac:dyDescent="0.35">
      <c r="A1796" s="1"/>
    </row>
    <row r="1797" spans="1:1" x14ac:dyDescent="0.35">
      <c r="A1797" s="1"/>
    </row>
    <row r="1798" spans="1:1" x14ac:dyDescent="0.35">
      <c r="A1798" s="1"/>
    </row>
    <row r="1799" spans="1:1" x14ac:dyDescent="0.35">
      <c r="A1799" s="1"/>
    </row>
    <row r="1800" spans="1:1" x14ac:dyDescent="0.35">
      <c r="A1800" s="1"/>
    </row>
    <row r="1801" spans="1:1" x14ac:dyDescent="0.35">
      <c r="A1801" s="1"/>
    </row>
    <row r="1802" spans="1:1" x14ac:dyDescent="0.35">
      <c r="A1802" s="1"/>
    </row>
    <row r="1803" spans="1:1" x14ac:dyDescent="0.35">
      <c r="A1803" s="1"/>
    </row>
    <row r="1804" spans="1:1" x14ac:dyDescent="0.35">
      <c r="A1804" s="1"/>
    </row>
    <row r="1805" spans="1:1" x14ac:dyDescent="0.35">
      <c r="A1805" s="1"/>
    </row>
    <row r="1806" spans="1:1" x14ac:dyDescent="0.35">
      <c r="A1806" s="1"/>
    </row>
    <row r="1807" spans="1:1" x14ac:dyDescent="0.35">
      <c r="A1807" s="1"/>
    </row>
    <row r="1808" spans="1:1" x14ac:dyDescent="0.35">
      <c r="A1808" s="1"/>
    </row>
    <row r="1809" spans="1:1" x14ac:dyDescent="0.35">
      <c r="A1809" s="1"/>
    </row>
    <row r="1810" spans="1:1" x14ac:dyDescent="0.35">
      <c r="A1810" s="1"/>
    </row>
    <row r="1811" spans="1:1" x14ac:dyDescent="0.35">
      <c r="A1811" s="1"/>
    </row>
    <row r="1812" spans="1:1" x14ac:dyDescent="0.35">
      <c r="A1812" s="1"/>
    </row>
    <row r="1813" spans="1:1" x14ac:dyDescent="0.35">
      <c r="A1813" s="1"/>
    </row>
    <row r="1814" spans="1:1" x14ac:dyDescent="0.35">
      <c r="A1814" s="1"/>
    </row>
    <row r="1815" spans="1:1" x14ac:dyDescent="0.35">
      <c r="A1815" s="1"/>
    </row>
    <row r="1816" spans="1:1" x14ac:dyDescent="0.35">
      <c r="A1816" s="1"/>
    </row>
    <row r="1817" spans="1:1" x14ac:dyDescent="0.35">
      <c r="A1817" s="1"/>
    </row>
    <row r="1818" spans="1:1" x14ac:dyDescent="0.35">
      <c r="A1818" s="1"/>
    </row>
    <row r="1819" spans="1:1" x14ac:dyDescent="0.35">
      <c r="A1819" s="1"/>
    </row>
    <row r="1820" spans="1:1" x14ac:dyDescent="0.35">
      <c r="A1820" s="1"/>
    </row>
    <row r="1821" spans="1:1" x14ac:dyDescent="0.35">
      <c r="A1821" s="1"/>
    </row>
    <row r="1822" spans="1:1" x14ac:dyDescent="0.35">
      <c r="A1822" s="1"/>
    </row>
    <row r="1823" spans="1:1" x14ac:dyDescent="0.35">
      <c r="A1823" s="1"/>
    </row>
    <row r="1824" spans="1:1" x14ac:dyDescent="0.35">
      <c r="A1824" s="1"/>
    </row>
    <row r="1825" spans="1:1" x14ac:dyDescent="0.35">
      <c r="A1825" s="1"/>
    </row>
    <row r="1826" spans="1:1" x14ac:dyDescent="0.35">
      <c r="A1826" s="1"/>
    </row>
    <row r="1827" spans="1:1" x14ac:dyDescent="0.35">
      <c r="A1827" s="1"/>
    </row>
    <row r="1828" spans="1:1" x14ac:dyDescent="0.35">
      <c r="A1828" s="1"/>
    </row>
    <row r="1829" spans="1:1" x14ac:dyDescent="0.35">
      <c r="A1829" s="1"/>
    </row>
    <row r="1830" spans="1:1" x14ac:dyDescent="0.35">
      <c r="A1830" s="1"/>
    </row>
    <row r="1831" spans="1:1" x14ac:dyDescent="0.35">
      <c r="A1831" s="1"/>
    </row>
    <row r="1832" spans="1:1" x14ac:dyDescent="0.35">
      <c r="A1832" s="1"/>
    </row>
    <row r="1833" spans="1:1" x14ac:dyDescent="0.35">
      <c r="A1833" s="1"/>
    </row>
    <row r="1834" spans="1:1" x14ac:dyDescent="0.35">
      <c r="A1834" s="1"/>
    </row>
    <row r="1835" spans="1:1" x14ac:dyDescent="0.35">
      <c r="A1835" s="1"/>
    </row>
    <row r="1836" spans="1:1" x14ac:dyDescent="0.35">
      <c r="A1836" s="1"/>
    </row>
    <row r="1837" spans="1:1" x14ac:dyDescent="0.35">
      <c r="A1837" s="1"/>
    </row>
    <row r="1838" spans="1:1" x14ac:dyDescent="0.35">
      <c r="A1838" s="1"/>
    </row>
    <row r="1839" spans="1:1" x14ac:dyDescent="0.35">
      <c r="A1839" s="1"/>
    </row>
    <row r="1840" spans="1:1" x14ac:dyDescent="0.35">
      <c r="A1840" s="1"/>
    </row>
    <row r="1841" spans="1:1" x14ac:dyDescent="0.35">
      <c r="A1841" s="1"/>
    </row>
    <row r="1842" spans="1:1" x14ac:dyDescent="0.35">
      <c r="A1842" s="1"/>
    </row>
    <row r="1843" spans="1:1" x14ac:dyDescent="0.35">
      <c r="A1843" s="1"/>
    </row>
    <row r="1844" spans="1:1" x14ac:dyDescent="0.35">
      <c r="A1844" s="1"/>
    </row>
    <row r="1845" spans="1:1" x14ac:dyDescent="0.35">
      <c r="A1845" s="1"/>
    </row>
    <row r="1846" spans="1:1" x14ac:dyDescent="0.35">
      <c r="A1846" s="1"/>
    </row>
    <row r="1847" spans="1:1" x14ac:dyDescent="0.35">
      <c r="A1847" s="1"/>
    </row>
    <row r="1848" spans="1:1" x14ac:dyDescent="0.35">
      <c r="A1848" s="1"/>
    </row>
    <row r="1849" spans="1:1" x14ac:dyDescent="0.35">
      <c r="A1849" s="1"/>
    </row>
    <row r="1850" spans="1:1" x14ac:dyDescent="0.35">
      <c r="A1850" s="1"/>
    </row>
    <row r="1851" spans="1:1" x14ac:dyDescent="0.35">
      <c r="A1851" s="1"/>
    </row>
    <row r="1852" spans="1:1" x14ac:dyDescent="0.35">
      <c r="A1852" s="1"/>
    </row>
    <row r="1853" spans="1:1" x14ac:dyDescent="0.35">
      <c r="A1853" s="1"/>
    </row>
    <row r="1854" spans="1:1" x14ac:dyDescent="0.35">
      <c r="A1854" s="1"/>
    </row>
    <row r="1855" spans="1:1" x14ac:dyDescent="0.35">
      <c r="A1855" s="1"/>
    </row>
    <row r="1856" spans="1:1" x14ac:dyDescent="0.35">
      <c r="A1856" s="1"/>
    </row>
    <row r="1857" spans="1:1" x14ac:dyDescent="0.35">
      <c r="A1857" s="1"/>
    </row>
    <row r="1858" spans="1:1" x14ac:dyDescent="0.35">
      <c r="A1858" s="1"/>
    </row>
    <row r="1859" spans="1:1" x14ac:dyDescent="0.35">
      <c r="A1859" s="1"/>
    </row>
    <row r="1860" spans="1:1" x14ac:dyDescent="0.35">
      <c r="A1860" s="1"/>
    </row>
    <row r="1861" spans="1:1" x14ac:dyDescent="0.35">
      <c r="A1861" s="1"/>
    </row>
    <row r="1862" spans="1:1" x14ac:dyDescent="0.35">
      <c r="A1862" s="1"/>
    </row>
    <row r="1863" spans="1:1" x14ac:dyDescent="0.35">
      <c r="A1863" s="1"/>
    </row>
    <row r="1864" spans="1:1" x14ac:dyDescent="0.35">
      <c r="A1864" s="1"/>
    </row>
    <row r="1865" spans="1:1" x14ac:dyDescent="0.35">
      <c r="A1865" s="1"/>
    </row>
    <row r="1866" spans="1:1" x14ac:dyDescent="0.35">
      <c r="A1866" s="1"/>
    </row>
    <row r="1867" spans="1:1" x14ac:dyDescent="0.35">
      <c r="A1867" s="1"/>
    </row>
    <row r="1868" spans="1:1" x14ac:dyDescent="0.35">
      <c r="A1868" s="1"/>
    </row>
    <row r="1869" spans="1:1" x14ac:dyDescent="0.35">
      <c r="A1869" s="1"/>
    </row>
    <row r="1870" spans="1:1" x14ac:dyDescent="0.35">
      <c r="A1870" s="1"/>
    </row>
    <row r="1871" spans="1:1" x14ac:dyDescent="0.35">
      <c r="A1871" s="1"/>
    </row>
    <row r="1872" spans="1:1" x14ac:dyDescent="0.35">
      <c r="A1872" s="1"/>
    </row>
    <row r="1873" spans="1:1" x14ac:dyDescent="0.35">
      <c r="A1873" s="1"/>
    </row>
    <row r="1874" spans="1:1" x14ac:dyDescent="0.35">
      <c r="A1874" s="1"/>
    </row>
    <row r="1875" spans="1:1" x14ac:dyDescent="0.35">
      <c r="A1875" s="1"/>
    </row>
    <row r="1876" spans="1:1" x14ac:dyDescent="0.35">
      <c r="A1876" s="1"/>
    </row>
    <row r="1877" spans="1:1" x14ac:dyDescent="0.35">
      <c r="A1877" s="1"/>
    </row>
    <row r="1878" spans="1:1" x14ac:dyDescent="0.35">
      <c r="A1878" s="1"/>
    </row>
    <row r="1879" spans="1:1" x14ac:dyDescent="0.35">
      <c r="A1879" s="1"/>
    </row>
    <row r="1880" spans="1:1" x14ac:dyDescent="0.35">
      <c r="A1880" s="1"/>
    </row>
    <row r="1881" spans="1:1" x14ac:dyDescent="0.35">
      <c r="A1881" s="1"/>
    </row>
    <row r="1882" spans="1:1" x14ac:dyDescent="0.35">
      <c r="A1882" s="1"/>
    </row>
    <row r="1883" spans="1:1" x14ac:dyDescent="0.35">
      <c r="A1883" s="1"/>
    </row>
    <row r="1884" spans="1:1" x14ac:dyDescent="0.35">
      <c r="A1884" s="1"/>
    </row>
    <row r="1885" spans="1:1" x14ac:dyDescent="0.35">
      <c r="A1885" s="1"/>
    </row>
    <row r="1886" spans="1:1" x14ac:dyDescent="0.35">
      <c r="A1886" s="1"/>
    </row>
    <row r="1887" spans="1:1" x14ac:dyDescent="0.35">
      <c r="A1887" s="1"/>
    </row>
    <row r="1888" spans="1:1" x14ac:dyDescent="0.35">
      <c r="A1888" s="1"/>
    </row>
    <row r="1889" spans="1:1" x14ac:dyDescent="0.35">
      <c r="A1889" s="1"/>
    </row>
    <row r="1890" spans="1:1" x14ac:dyDescent="0.35">
      <c r="A1890" s="1"/>
    </row>
    <row r="1891" spans="1:1" x14ac:dyDescent="0.35">
      <c r="A1891" s="1"/>
    </row>
    <row r="1892" spans="1:1" x14ac:dyDescent="0.35">
      <c r="A1892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1D1878-4382-460B-9A88-71FFAF2495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Data_Raw</vt:lpstr>
      <vt:lpstr>Calculs</vt:lpstr>
      <vt:lpstr>Results</vt:lpstr>
      <vt:lpstr>Excel 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PEILLON Lou-Anne</dc:creator>
  <cp:lastModifiedBy>NAPASEUTH Lea</cp:lastModifiedBy>
  <dcterms:created xsi:type="dcterms:W3CDTF">2025-12-28T20:49:11Z</dcterms:created>
  <dcterms:modified xsi:type="dcterms:W3CDTF">2025-12-31T16:01:53Z</dcterms:modified>
</cp:coreProperties>
</file>